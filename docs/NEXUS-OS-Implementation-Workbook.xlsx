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 · คู่มือใช้งาน" sheetId="1" state="visible" r:id="rId3"/>
    <sheet name="1 · Data Taxonomy" sheetId="2" state="visible" r:id="rId4"/>
    <sheet name="2 · Log Checklist (Security)" sheetId="3" state="visible" r:id="rId5"/>
    <sheet name="3 · Org Onboarding" sheetId="4" state="visible" r:id="rId6"/>
    <sheet name="4 · Dev Timeline" sheetId="5" state="visible" r:id="rId7"/>
    <sheet name="5 · Work Log Template" sheetId="6" state="visible" r:id="rId8"/>
    <sheet name="6 · Security Referenc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<sst xmlns="http://schemas.openxmlformats.org/spreadsheetml/2006/main" count="537" uniqueCount="347">
  <si>
    <t xml:space="preserve">NEXUS OS — Implementation Workbook</t>
  </si>
  <si>
    <t xml:space="preserve">ชุดเครื่องมือส่งมอบลูกค้า: เก็บฐานข้อมูลทีละขั้น → จัดหมวด → เข้าระบบ  (เริ่มที่คลินิกของคุณเป็นลูกค้ารายแรก)</t>
  </si>
  <si>
    <t xml:space="preserve">แท็บในไฟล์นี้</t>
  </si>
  <si>
    <t xml:space="preserve">ใช้ทำอะไร</t>
  </si>
  <si>
    <t xml:space="preserve">1 · Data Taxonomy &amp; Dictionary</t>
  </si>
  <si>
    <t xml:space="preserve">นิยามทุกตัวเลข + บอกว่าข้อมูลอยู่ Layer ไหน (หัวใจ — ทำก่อน)</t>
  </si>
  <si>
    <t xml:space="preserve">2 · Log Collection Checklist</t>
  </si>
  <si>
    <t xml:space="preserve">เช็กลิสต์เก็บ Log แยกชั้น Security สำหรับ Risk Management</t>
  </si>
  <si>
    <t xml:space="preserve">3 · Org Onboarding Checklist</t>
  </si>
  <si>
    <t xml:space="preserve">ส่งให้แต่ละองค์กรทยอยทำฐานข้อมูล + นำส่งเข้าระบบ (6 Phase)</t>
  </si>
  <si>
    <t xml:space="preserve">4 · Dev Timeline</t>
  </si>
  <si>
    <t xml:space="preserve">แผนให้ทีม Dev ออกแบบระบบ + ระบบเก็บ Log</t>
  </si>
  <si>
    <t xml:space="preserve">5 · Work Log System</t>
  </si>
  <si>
    <t xml:space="preserve">Template เก็บ Log งานแบบมาตรฐาน — copy วางใช้ได้ทุกองค์กร</t>
  </si>
  <si>
    <t xml:space="preserve">6 · Security &amp; Risk Reference</t>
  </si>
  <si>
    <t xml:space="preserve">นิยามชั้น Security T0–T3 + การควบคุม + PDPA</t>
  </si>
  <si>
    <t xml:space="preserve">หลักการ</t>
  </si>
  <si>
    <t xml:space="preserve">Data First → AI Later</t>
  </si>
  <si>
    <t xml:space="preserve">1) ทำแท็บ 1 (นิยามข้อมูล) ให้เสร็จก่อนเสมอ — ถ้านิยามไม่ชัด AI จะวิเคราะห์ผิด</t>
  </si>
  <si>
    <t xml:space="preserve">2) จัดชั้น Security (แท็บ 2 + 6) ก่อนเปิดให้พนักงานเข้าถึง — โดยเฉพาะข้อมูลคนไข้ (T3/PDPA)</t>
  </si>
  <si>
    <t xml:space="preserve">3) แท็บ 3 ส่งให้องค์กรกรอกทีละ Phase — ไม่ต้องทำทีเดียวจบ</t>
  </si>
  <si>
    <t xml:space="preserve">4) แท็บ 5 คือมาตรฐาน Log เดียวกันทุกองค์กร = ระบบ copy วางได้</t>
  </si>
  <si>
    <t xml:space="preserve">1 · Data Taxonomy &amp; Data Dictionary</t>
  </si>
  <si>
    <t xml:space="preserve">ทุกตัวเลขต้องมีนิยามชัดเจน — กรอกตัวอย่างคลินิกไว้ให้แล้ว เพิ่ม/แก้ตามองค์กร</t>
  </si>
  <si>
    <t xml:space="preserve">ลำดับ</t>
  </si>
  <si>
    <t xml:space="preserve">Field / ตัวชี้วัด</t>
  </si>
  <si>
    <t xml:space="preserve">Layer</t>
  </si>
  <si>
    <t xml:space="preserve">นิยาม (Definition)</t>
  </si>
  <si>
    <t xml:space="preserve">สูตรคำนวณ</t>
  </si>
  <si>
    <t xml:space="preserve">แหล่งข้อมูล</t>
  </si>
  <si>
    <t xml:space="preserve">เจ้าของข้อมูล</t>
  </si>
  <si>
    <t xml:space="preserve">Security Tier</t>
  </si>
  <si>
    <t xml:space="preserve">ความถี่อัปเดต</t>
  </si>
  <si>
    <t xml:space="preserve">ตัวอย่าง (คลินิก)</t>
  </si>
  <si>
    <t xml:space="preserve">Doctor Revenue</t>
  </si>
  <si>
    <t xml:space="preserve">Financial</t>
  </si>
  <si>
    <t xml:space="preserve">รายได้สุทธิที่เกิดจากหมอแต่ละคน</t>
  </si>
  <si>
    <t xml:space="preserve">ยอดหัตถการในชื่อหมอ − ต้นทุนวัสดุ</t>
  </si>
  <si>
    <t xml:space="preserve">ระบบนัด/HIS, บัญชี</t>
  </si>
  <si>
    <t xml:space="preserve">Finance</t>
  </si>
  <si>
    <t xml:space="preserve">T2</t>
  </si>
  <si>
    <t xml:space="preserve">รายวัน</t>
  </si>
  <si>
    <t xml:space="preserve">หมอ A = 85,000/วัน</t>
  </si>
  <si>
    <t xml:space="preserve">Customer Retention</t>
  </si>
  <si>
    <t xml:space="preserve">Customer</t>
  </si>
  <si>
    <t xml:space="preserve">สัดส่วนลูกค้าเก่าที่กลับมาใช้ซ้ำใน 90 วัน</t>
  </si>
  <si>
    <t xml:space="preserve">ลูกค้าซ้ำ ÷ ลูกค้าทั้งหมด ×100</t>
  </si>
  <si>
    <t xml:space="preserve">CRM/LINE</t>
  </si>
  <si>
    <t xml:space="preserve">Marketing</t>
  </si>
  <si>
    <t xml:space="preserve">รายเดือน</t>
  </si>
  <si>
    <t xml:space="preserve">68%</t>
  </si>
  <si>
    <t xml:space="preserve">Complaint Rate</t>
  </si>
  <si>
    <t xml:space="preserve">Performance</t>
  </si>
  <si>
    <t xml:space="preserve">อัตราเคสที่มีคอมเพลน</t>
  </si>
  <si>
    <t xml:space="preserve">จำนวนคอมเพลน ÷ เคสทั้งหมด ×100</t>
  </si>
  <si>
    <t xml:space="preserve">รีวิว/Ticket</t>
  </si>
  <si>
    <t xml:space="preserve">หัวหน้าสาขา</t>
  </si>
  <si>
    <t xml:space="preserve">T1</t>
  </si>
  <si>
    <t xml:space="preserve">รายสัปดาห์</t>
  </si>
  <si>
    <t xml:space="preserve">2.1%</t>
  </si>
  <si>
    <t xml:space="preserve">No-show Rate</t>
  </si>
  <si>
    <t xml:space="preserve">Operation</t>
  </si>
  <si>
    <t xml:space="preserve">อัตราลูกค้านัดแล้วไม่มา</t>
  </si>
  <si>
    <t xml:space="preserve">นัดที่ไม่มา ÷ นัดทั้งหมด ×100</t>
  </si>
  <si>
    <t xml:space="preserve">ระบบนัด</t>
  </si>
  <si>
    <t xml:space="preserve">6%</t>
  </si>
  <si>
    <t xml:space="preserve">Daily Readiness</t>
  </si>
  <si>
    <t xml:space="preserve">ความพร้อมก่อนเปิดบริการ</t>
  </si>
  <si>
    <t xml:space="preserve">เฉลี่ยเช็กลิสต์ความพร้อม (คน/ห้อง/เครื่องมือ)</t>
  </si>
  <si>
    <t xml:space="preserve">Workspace</t>
  </si>
  <si>
    <t xml:space="preserve">92%</t>
  </si>
  <si>
    <t xml:space="preserve">Staff KPI</t>
  </si>
  <si>
    <t xml:space="preserve">คะแนนผลงานรายคน</t>
  </si>
  <si>
    <t xml:space="preserve">งานเสร็จตรงเวลา×คุณภาพ (ตามสูตร KPI)</t>
  </si>
  <si>
    <t xml:space="preserve">Workspace/Log</t>
  </si>
  <si>
    <t xml:space="preserve">HR</t>
  </si>
  <si>
    <t xml:space="preserve">แพรว = 96</t>
  </si>
  <si>
    <t xml:space="preserve">Skill Score</t>
  </si>
  <si>
    <t xml:space="preserve">People</t>
  </si>
  <si>
    <t xml:space="preserve">ระดับทักษะรายคน คำนวณจากงานจริง</t>
  </si>
  <si>
    <t xml:space="preserve">น้ำหนักทักษะ×ผลงาน+หลักฐาน</t>
  </si>
  <si>
    <t xml:space="preserve">Skill Wallet</t>
  </si>
  <si>
    <t xml:space="preserve">ต่อเนื่อง</t>
  </si>
  <si>
    <t xml:space="preserve">หัตถการ 88</t>
  </si>
  <si>
    <t xml:space="preserve">New Doctor Ramp</t>
  </si>
  <si>
    <t xml:space="preserve">พัฒนาการหมอใหม่ วันที่ 1–30</t>
  </si>
  <si>
    <t xml:space="preserve">อัตราเพิ่มลูกค้าเก่า + คอร์สที่เชี่ยวชาญ</t>
  </si>
  <si>
    <t xml:space="preserve">HIS+CRM</t>
  </si>
  <si>
    <t xml:space="preserve">ผู้บริหาร</t>
  </si>
  <si>
    <t xml:space="preserve">วันที่30: 24 เคสซ้ำ</t>
  </si>
  <si>
    <t xml:space="preserve">Cost Saving</t>
  </si>
  <si>
    <t xml:space="preserve">ต้นทุนที่ประหยัดได้จากระบบ</t>
  </si>
  <si>
    <t xml:space="preserve">ต้นทุนเดิม − ต้นทุนปัจจุบัน</t>
  </si>
  <si>
    <t xml:space="preserve">บัญชี</t>
  </si>
  <si>
    <t xml:space="preserve">12,450 บาท</t>
  </si>
  <si>
    <t xml:space="preserve">Patient Record</t>
  </si>
  <si>
    <t xml:space="preserve">ข้อมูลคนไข้/ประวัติการรักษา</t>
  </si>
  <si>
    <t xml:space="preserve">— (ข้อมูลดิบ ไม่ใช่ตัวเลขสรุป)</t>
  </si>
  <si>
    <t xml:space="preserve">HIS</t>
  </si>
  <si>
    <t xml:space="preserve">แพทย์/ผู้ดูแล</t>
  </si>
  <si>
    <t xml:space="preserve">T3</t>
  </si>
  <si>
    <t xml:space="preserve">เข้ารหัส + PDPA</t>
  </si>
  <si>
    <t xml:space="preserve">2 · Log Collection Checklist — แยกชั้น Security (Risk Management)</t>
  </si>
  <si>
    <t xml:space="preserve">ก่อนเปิดให้พนักงานเข้าถึง ต้องจัดชั้นข้อมูลและกำหนดการควบคุม — ข้อมูลคนไข้ = T3 ระวัง PDPA</t>
  </si>
  <si>
    <t xml:space="preserve">หมวดข้อมูล</t>
  </si>
  <si>
    <t xml:space="preserve">ตัวอย่างข้อมูล</t>
  </si>
  <si>
    <t xml:space="preserve">Tier</t>
  </si>
  <si>
    <t xml:space="preserve">PII/อ่อนไหว</t>
  </si>
  <si>
    <t xml:space="preserve">ต้องเข้ารหัส</t>
  </si>
  <si>
    <t xml:space="preserve">สิทธิ์เข้าถึง (Role)</t>
  </si>
  <si>
    <t xml:space="preserve">เก็บนาน (Retention)</t>
  </si>
  <si>
    <t xml:space="preserve">เก็บ Log การเข้าถึง</t>
  </si>
  <si>
    <t xml:space="preserve">PDPA</t>
  </si>
  <si>
    <t xml:space="preserve">สถานะ</t>
  </si>
  <si>
    <t xml:space="preserve">ข้อมูลโปรโมชั่น/เปิด-ปิด</t>
  </si>
  <si>
    <t xml:space="preserve">ชั่วโมงเปิด, โปรฯ</t>
  </si>
  <si>
    <t xml:space="preserve">T0</t>
  </si>
  <si>
    <t xml:space="preserve">ไม่</t>
  </si>
  <si>
    <t xml:space="preserve">ทุกคน + สาธารณะ</t>
  </si>
  <si>
    <t xml:space="preserve">-</t>
  </si>
  <si>
    <t xml:space="preserve">ไม่จำเป็น</t>
  </si>
  <si>
    <t xml:space="preserve">☐ ยังไม่จัด</t>
  </si>
  <si>
    <t xml:space="preserve">SOP / คู่มือทำงาน</t>
  </si>
  <si>
    <t xml:space="preserve">ขั้นตอนหัตถการ</t>
  </si>
  <si>
    <t xml:space="preserve">พนักงานในองค์กร</t>
  </si>
  <si>
    <t xml:space="preserve">ตลอดอายุงาน</t>
  </si>
  <si>
    <t xml:space="preserve">แนะนำ</t>
  </si>
  <si>
    <t xml:space="preserve">KPI / ตารางงานทีม</t>
  </si>
  <si>
    <t xml:space="preserve">KPI รายทีม</t>
  </si>
  <si>
    <t xml:space="preserve">หัวหน้า + เจ้าตัว</t>
  </si>
  <si>
    <t xml:space="preserve">2 ปี</t>
  </si>
  <si>
    <t xml:space="preserve">ใช่</t>
  </si>
  <si>
    <t xml:space="preserve">ยอดขาย / ต้นทุนรายคน</t>
  </si>
  <si>
    <t xml:space="preserve">หัวหน้า + Finance</t>
  </si>
  <si>
    <t xml:space="preserve">5 ปี</t>
  </si>
  <si>
    <t xml:space="preserve">กลยุทธ์ / แผนธุรกิจ</t>
  </si>
  <si>
    <t xml:space="preserve">แผนการตลาด</t>
  </si>
  <si>
    <t xml:space="preserve">ตามนโยบาย</t>
  </si>
  <si>
    <t xml:space="preserve">ข้อมูลพนักงาน (HR)</t>
  </si>
  <si>
    <t xml:space="preserve">เงินเดือน, สัญญา</t>
  </si>
  <si>
    <t xml:space="preserve">HR + ผู้บริหาร</t>
  </si>
  <si>
    <t xml:space="preserve">ตามกฎหมาย</t>
  </si>
  <si>
    <t xml:space="preserve">ใช่ (บังคับ)</t>
  </si>
  <si>
    <t xml:space="preserve">ข้อมูลคนไข้ / สุขภาพ</t>
  </si>
  <si>
    <t xml:space="preserve">ประวัติรักษา, ผลตรวจ</t>
  </si>
  <si>
    <t xml:space="preserve">แพทย์ + ผู้ดูแลที่ได้รับสิทธิ์</t>
  </si>
  <si>
    <t xml:space="preserve">ตามกฎหมายแพทย์</t>
  </si>
  <si>
    <t xml:space="preserve">ใช่ (อ่อนไหว)</t>
  </si>
  <si>
    <t xml:space="preserve">เลขบัตร ปชช./การเงินลูกค้า</t>
  </si>
  <si>
    <t xml:space="preserve">เลขบัตร, บัตรเครดิต</t>
  </si>
  <si>
    <t xml:space="preserve">เฉพาะผู้ได้รับสิทธิ์</t>
  </si>
  <si>
    <t xml:space="preserve">3 · Org Data Onboarding Checklist — ส่งให้แต่ละองค์กร</t>
  </si>
  <si>
    <t xml:space="preserve">ทยอยทำทีละ Phase แล้วนำส่งเข้าระบบ ไม่ต้องทำทีเดียวจบ</t>
  </si>
  <si>
    <t xml:space="preserve">ความคืบหน้า →</t>
  </si>
  <si>
    <t xml:space="preserve">Phase / งาน</t>
  </si>
  <si>
    <t xml:space="preserve">ผู้รับผิดชอบ</t>
  </si>
  <si>
    <t xml:space="preserve">เทมเพลต/อ้างอิง</t>
  </si>
  <si>
    <t xml:space="preserve">กำหนดเสร็จ</t>
  </si>
  <si>
    <t xml:space="preserve">หมายเหตุ</t>
  </si>
  <si>
    <t xml:space="preserve">Phase 1 · Organizational Blueprint</t>
  </si>
  <si>
    <t xml:space="preserve">   ลิสต์แผนกทั้งหมด + จำนวนคน</t>
  </si>
  <si>
    <t xml:space="preserve">เจ้าของ/HR</t>
  </si>
  <si>
    <t xml:space="preserve">แท็บ 1</t>
  </si>
  <si>
    <t xml:space="preserve">ยังไม่เริ่ม</t>
  </si>
  <si>
    <t xml:space="preserve">   ระบุ Workflow หลักของแต่ละแผนก</t>
  </si>
  <si>
    <t xml:space="preserve">หัวหน้าแผนก</t>
  </si>
  <si>
    <t xml:space="preserve">Process Manual</t>
  </si>
  <si>
    <t xml:space="preserve">   รวบรวมแหล่งข้อมูลที่มีอยู่ (Excel/LINE/ERP)</t>
  </si>
  <si>
    <t xml:space="preserve">IT/Admin</t>
  </si>
  <si>
    <t xml:space="preserve">แท็บ 2</t>
  </si>
  <si>
    <t xml:space="preserve">Phase 2 · Data Dictionary</t>
  </si>
  <si>
    <t xml:space="preserve">   นิยามตัวเลขสำคัญทุกตัว</t>
  </si>
  <si>
    <t xml:space="preserve">   ระบุสูตรคำนวณ + เจ้าของข้อมูล</t>
  </si>
  <si>
    <t xml:space="preserve">Finance/Data</t>
  </si>
  <si>
    <t xml:space="preserve">   จัดชั้น Security ของแต่ละหมวด</t>
  </si>
  <si>
    <t xml:space="preserve">IT/ผู้บริหาร</t>
  </si>
  <si>
    <t xml:space="preserve">แท็บ 2 + 6</t>
  </si>
  <si>
    <t xml:space="preserve">Phase 3 · Knowledge &amp; SOP</t>
  </si>
  <si>
    <t xml:space="preserve">   อัปโหลด SOP / คู่มือ / Policy</t>
  </si>
  <si>
    <t xml:space="preserve">แท็บ 6</t>
  </si>
  <si>
    <t xml:space="preserve">   จัดหมวด: Training/Policy/Meeting/KPI</t>
  </si>
  <si>
    <t xml:space="preserve">Admin</t>
  </si>
  <si>
    <t xml:space="preserve">Phase 4 · People &amp; Skill</t>
  </si>
  <si>
    <t xml:space="preserve">   ใส่ Job Description รายตำแหน่ง</t>
  </si>
  <si>
    <t xml:space="preserve">   ประเมิน Skill เริ่มต้นรายคน</t>
  </si>
  <si>
    <t xml:space="preserve">หัวหน้า</t>
  </si>
  <si>
    <t xml:space="preserve">Skill Framework</t>
  </si>
  <si>
    <t xml:space="preserve">Phase 5 · นำส่งเข้าระบบ</t>
  </si>
  <si>
    <t xml:space="preserve">   กรอกข้อมูลตามเทมเพลตเข้าระบบ</t>
  </si>
  <si>
    <t xml:space="preserve">แท็บ 5</t>
  </si>
  <si>
    <t xml:space="preserve">   ตั้งสิทธิ์เข้าถึงตามชั้น Security</t>
  </si>
  <si>
    <t xml:space="preserve">IT</t>
  </si>
  <si>
    <t xml:space="preserve">   ทดสอบ Login พนักงานนำร่อง</t>
  </si>
  <si>
    <t xml:space="preserve">IT/HR</t>
  </si>
  <si>
    <t xml:space="preserve">Phase 6 · เปิด AI Layer</t>
  </si>
  <si>
    <t xml:space="preserve">   เชื่อม AI Connector (GPT/Claude/Typhoon)</t>
  </si>
  <si>
    <t xml:space="preserve">Dev</t>
  </si>
  <si>
    <t xml:space="preserve">แท็บ 4</t>
  </si>
  <si>
    <t xml:space="preserve">   ตั้ง Decision Rights ของ AI</t>
  </si>
  <si>
    <t xml:space="preserve">4 · Dev Timeline — แผนให้ทีม Dev ออกแบบระบบ + ระบบเก็บ Log</t>
  </si>
  <si>
    <t xml:space="preserve">ลำดับ Data First: ฐานข้อมูล/สิทธิ์ ก่อน UI ก่อน AI  (End = Start + Duration − 1)</t>
  </si>
  <si>
    <t xml:space="preserve">Module / งานพัฒนา</t>
  </si>
  <si>
    <t xml:space="preserve">Phase</t>
  </si>
  <si>
    <t xml:space="preserve">Dev Owner</t>
  </si>
  <si>
    <t xml:space="preserve">Start (สัปดาห์)</t>
  </si>
  <si>
    <t xml:space="preserve">Duration (สัปดาห์)</t>
  </si>
  <si>
    <t xml:space="preserve">End (สัปดาห์)</t>
  </si>
  <si>
    <t xml:space="preserve">Dependency</t>
  </si>
  <si>
    <t xml:space="preserve">ออกแบบ Data Schema + Universal Model</t>
  </si>
  <si>
    <t xml:space="preserve">P1-2</t>
  </si>
  <si>
    <t xml:space="preserve">Backend</t>
  </si>
  <si>
    <t xml:space="preserve">ระบบสิทธิ์ + ชั้น Security (RBAC)</t>
  </si>
  <si>
    <t xml:space="preserve">P2</t>
  </si>
  <si>
    <t xml:space="preserve">Schema</t>
  </si>
  <si>
    <t xml:space="preserve">ระบบเก็บ Log มาตรฐาน (แท็บ 5)</t>
  </si>
  <si>
    <t xml:space="preserve">P2-3</t>
  </si>
  <si>
    <t xml:space="preserve">RBAC</t>
  </si>
  <si>
    <t xml:space="preserve">Audit Trail / Log การเข้าถึงข้อมูล</t>
  </si>
  <si>
    <t xml:space="preserve">P3</t>
  </si>
  <si>
    <t xml:space="preserve">Log system</t>
  </si>
  <si>
    <t xml:space="preserve">Browser Workspace (พนักงาน)</t>
  </si>
  <si>
    <t xml:space="preserve">P4</t>
  </si>
  <si>
    <t xml:space="preserve">Frontend</t>
  </si>
  <si>
    <t xml:space="preserve">Executive Dashboard</t>
  </si>
  <si>
    <t xml:space="preserve">ส่งงาน + Evidence + Timestamp</t>
  </si>
  <si>
    <t xml:space="preserve">Fullstack</t>
  </si>
  <si>
    <t xml:space="preserve">Data ingestion (Excel/LINE/ERP)</t>
  </si>
  <si>
    <t xml:space="preserve">P5</t>
  </si>
  <si>
    <t xml:space="preserve">AI Connector + Model Router</t>
  </si>
  <si>
    <t xml:space="preserve">P6</t>
  </si>
  <si>
    <t xml:space="preserve">AI/Backend</t>
  </si>
  <si>
    <t xml:space="preserve">Dashboard</t>
  </si>
  <si>
    <t xml:space="preserve">RAG Grounding (ดึงดาต้าองค์กร)</t>
  </si>
  <si>
    <t xml:space="preserve">AI</t>
  </si>
  <si>
    <t xml:space="preserve">Ingestion</t>
  </si>
  <si>
    <t xml:space="preserve">Digital Twin / Feasibility</t>
  </si>
  <si>
    <t xml:space="preserve">AI Connector</t>
  </si>
  <si>
    <t xml:space="preserve">QA + Security Audit + Go-live</t>
  </si>
  <si>
    <t xml:space="preserve">ทั้งทีม</t>
  </si>
  <si>
    <t xml:space="preserve">ทุกงาน</t>
  </si>
  <si>
    <t xml:space="preserve">รวมระยะเวลา (สัปดาห์)</t>
  </si>
  <si>
    <t xml:space="preserve">≈ 4–5 เดือน</t>
  </si>
  <si>
    <t xml:space="preserve">5 · Work Log System — มาตรฐานเดียว ใช้ได้ทุกองค์กร (Copy วางได้)</t>
  </si>
  <si>
    <t xml:space="preserve">A) สเปคฟิลด์ Log  ·  B) ตัวอย่างข้อมูล Log จริง — ก็อปทั้งโครงไปใช้กับองค์กรใหม่ได้เลย</t>
  </si>
  <si>
    <t xml:space="preserve">A) สเปคฟิลด์ Log (Field Specification)</t>
  </si>
  <si>
    <t xml:space="preserve">Field</t>
  </si>
  <si>
    <t xml:space="preserve">Type</t>
  </si>
  <si>
    <t xml:space="preserve">Required</t>
  </si>
  <si>
    <t xml:space="preserve">คำอธิบาย</t>
  </si>
  <si>
    <t xml:space="preserve">ตัวอย่าง</t>
  </si>
  <si>
    <t xml:space="preserve">log_id</t>
  </si>
  <si>
    <t xml:space="preserve">string</t>
  </si>
  <si>
    <t xml:space="preserve">✔</t>
  </si>
  <si>
    <t xml:space="preserve">รหัส Log ไม่ซ้ำ</t>
  </si>
  <si>
    <t xml:space="preserve">LOG-2026-000128</t>
  </si>
  <si>
    <t xml:space="preserve">timestamp</t>
  </si>
  <si>
    <t xml:space="preserve">datetime</t>
  </si>
  <si>
    <t xml:space="preserve">วันเวลาที่เกิดเหตุการณ์</t>
  </si>
  <si>
    <t xml:space="preserve">2026-06-15 08:35</t>
  </si>
  <si>
    <t xml:space="preserve">org_id</t>
  </si>
  <si>
    <t xml:space="preserve">รหัสองค์กร (รองรับหลายองค์กร)</t>
  </si>
  <si>
    <t xml:space="preserve">ORG-CLINIC-01</t>
  </si>
  <si>
    <t xml:space="preserve">user_id</t>
  </si>
  <si>
    <t xml:space="preserve">รหัสพนักงานที่ทำงาน</t>
  </si>
  <si>
    <t xml:space="preserve">U-แพรว-012</t>
  </si>
  <si>
    <t xml:space="preserve">role</t>
  </si>
  <si>
    <t xml:space="preserve">บทบาท/ตำแหน่ง</t>
  </si>
  <si>
    <t xml:space="preserve">พยาบาลหัตถการ</t>
  </si>
  <si>
    <t xml:space="preserve">dept</t>
  </si>
  <si>
    <t xml:space="preserve">แผนก</t>
  </si>
  <si>
    <t xml:space="preserve">หัตถการ</t>
  </si>
  <si>
    <t xml:space="preserve">action_type</t>
  </si>
  <si>
    <t xml:space="preserve">enum</t>
  </si>
  <si>
    <t xml:space="preserve">ประเภท: รับงาน/เริ่ม/ส่ง/อนุมัติ/ปัญหา</t>
  </si>
  <si>
    <t xml:space="preserve">ส่งงาน</t>
  </si>
  <si>
    <t xml:space="preserve">object</t>
  </si>
  <si>
    <t xml:space="preserve">สิ่งที่ทำ/อ้างถึง</t>
  </si>
  <si>
    <t xml:space="preserve">เตรียมห้องหัตถการ 2</t>
  </si>
  <si>
    <t xml:space="preserve">task_id</t>
  </si>
  <si>
    <t xml:space="preserve">รหัสงานที่ผูก</t>
  </si>
  <si>
    <t xml:space="preserve">TASK-3391</t>
  </si>
  <si>
    <t xml:space="preserve">status</t>
  </si>
  <si>
    <t xml:space="preserve">ผ่าน/ตีกลับ/ขอแก้ไข/รอตรวจ</t>
  </si>
  <si>
    <t xml:space="preserve">รอตรวจ</t>
  </si>
  <si>
    <t xml:space="preserve">evidence_url</t>
  </si>
  <si>
    <t xml:space="preserve">ลิงก์หลักฐาน (รูป/QR/เอกสาร)</t>
  </si>
  <si>
    <t xml:space="preserve">/evidence/3391.jpg</t>
  </si>
  <si>
    <t xml:space="preserve">kpi_impact</t>
  </si>
  <si>
    <t xml:space="preserve">number</t>
  </si>
  <si>
    <t xml:space="preserve">ผลต่อ KPI (+/-)</t>
  </si>
  <si>
    <t xml:space="preserve">+1</t>
  </si>
  <si>
    <t xml:space="preserve">reviewed_by</t>
  </si>
  <si>
    <t xml:space="preserve">หัวหน้าที่อนุมัติ</t>
  </si>
  <si>
    <t xml:space="preserve">U-สมชาย-003</t>
  </si>
  <si>
    <t xml:space="preserve">security_tier</t>
  </si>
  <si>
    <t xml:space="preserve">ชั้นความลับของ Log นี้</t>
  </si>
  <si>
    <t xml:space="preserve">B) ตัวอย่างข้อมูล Log จริง (Copy โครงนี้ไปใช้)</t>
  </si>
  <si>
    <t xml:space="preserve">LOG-...0125</t>
  </si>
  <si>
    <t xml:space="preserve">2026-06-15 08:00</t>
  </si>
  <si>
    <t xml:space="preserve">พยาบาล</t>
  </si>
  <si>
    <t xml:space="preserve">รับงาน</t>
  </si>
  <si>
    <t xml:space="preserve">LOG-...0126</t>
  </si>
  <si>
    <t xml:space="preserve">2026-06-15 08:05</t>
  </si>
  <si>
    <t xml:space="preserve">เริ่มงาน</t>
  </si>
  <si>
    <t xml:space="preserve">LOG-...0127</t>
  </si>
  <si>
    <t xml:space="preserve">เตรียมห้อง + ตรวจเครื่องมือ</t>
  </si>
  <si>
    <t xml:space="preserve">LOG-...0128</t>
  </si>
  <si>
    <t xml:space="preserve">2026-06-15 08:42</t>
  </si>
  <si>
    <t xml:space="preserve">อนุมัติ</t>
  </si>
  <si>
    <t xml:space="preserve">ผ่าน</t>
  </si>
  <si>
    <t xml:space="preserve">LOG-...0129</t>
  </si>
  <si>
    <t xml:space="preserve">2026-06-15 09:10</t>
  </si>
  <si>
    <t xml:space="preserve">U-มายด์-031</t>
  </si>
  <si>
    <t xml:space="preserve">การตลาด</t>
  </si>
  <si>
    <t xml:space="preserve">คอนเทนต์คอร์สหน้าใส 3 ชิ้น</t>
  </si>
  <si>
    <t xml:space="preserve">ขอแก้ไข</t>
  </si>
  <si>
    <t xml:space="preserve">0</t>
  </si>
  <si>
    <t xml:space="preserve">6 · Security &amp; Risk Classification (อ้างอิง)</t>
  </si>
  <si>
    <t xml:space="preserve">4 ชั้นความลับ + การควบคุม — ใช้คู่กับแท็บ 2 สำหรับ Risk Management</t>
  </si>
  <si>
    <t xml:space="preserve">ชื่อ</t>
  </si>
  <si>
    <t xml:space="preserve">นิยาม</t>
  </si>
  <si>
    <t xml:space="preserve">การควบคุม</t>
  </si>
  <si>
    <t xml:space="preserve">ใครเข้าถึงได้</t>
  </si>
  <si>
    <t xml:space="preserve">Public / สาธารณะ</t>
  </si>
  <si>
    <t xml:space="preserve">ข้อมูลเปิดเผยได้ ไม่เสียหายถ้ารั่ว</t>
  </si>
  <si>
    <t xml:space="preserve">โปรโมชั่น, ชั่วโมงเปิด</t>
  </si>
  <si>
    <t xml:space="preserve">ไม่ต้องควบคุมพิเศษ</t>
  </si>
  <si>
    <t xml:space="preserve">ทุกคน + ภายนอก</t>
  </si>
  <si>
    <t xml:space="preserve">Internal / ภายใน</t>
  </si>
  <si>
    <t xml:space="preserve">ใช้ภายในองค์กร</t>
  </si>
  <si>
    <t xml:space="preserve">SOP, KPI ทีม, ตารางงาน</t>
  </si>
  <si>
    <t xml:space="preserve">Login เข้าถึง + Log การเข้าถึง</t>
  </si>
  <si>
    <t xml:space="preserve">Confidential / ความลับธุรกิจ</t>
  </si>
  <si>
    <t xml:space="preserve">รั่วแล้วกระทบธุรกิจ</t>
  </si>
  <si>
    <t xml:space="preserve">ยอด/ต้นทุนรายคน, กลยุทธ์</t>
  </si>
  <si>
    <t xml:space="preserve">เข้ารหัส + จำกัด Role + Audit</t>
  </si>
  <si>
    <t xml:space="preserve">หัวหน้า + ผู้บริหารที่เกี่ยว</t>
  </si>
  <si>
    <t xml:space="preserve">Restricted / อ่อนไหว (PDPA)</t>
  </si>
  <si>
    <t xml:space="preserve">ข้อมูลส่วนบุคคล/สุขภาพ</t>
  </si>
  <si>
    <t xml:space="preserve">คนไข้, เงินเดือน, เลขบัตร</t>
  </si>
  <si>
    <t xml:space="preserve">เข้ารหัสบังคับ + Masking + Audit เต็ม + ขอความยินยอม</t>
  </si>
  <si>
    <t xml:space="preserve">หลักการ Risk Management</t>
  </si>
  <si>
    <t xml:space="preserve">• ให้สิทธิ์น้อยที่สุดเท่าที่จำเป็น (Least Privilege) — พนักงานเห็นเฉพาะข้อมูลที่หน้าที่ต้องใช้</t>
  </si>
  <si>
    <t xml:space="preserve">• ทุกการเข้าถึง T2/T3 ต้องมี Log (ใคร เข้าถึงอะไร เมื่อไร) เพื่อ Audit ย้อนหลังได้</t>
  </si>
  <si>
    <t xml:space="preserve">• ข้อมูลคนไข้/สุขภาพ = ข้อมูลอ่อนไหวตาม PDPA ต้องเข้ารหัสและขอความยินยอม</t>
  </si>
  <si>
    <t xml:space="preserve">• AI เข้าถึงข้อมูลตามชั้นเดียวกับ Role ที่ถาม — ไม่ใช่เห็นทุกอย่างเสมอไป</t>
  </si>
  <si>
    <t xml:space="preserve">• สำรองข้อมูล + แผนกู้คืน (Backup/DR) ก่อนนำขึ้นระบบจริง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</si>
</sst>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b val="true"/>
      <sz val="10"/>
      <color rgb="FF0E9AB0"/>
      <name val="Arial"/>
      <family val="0"/>
      <charset val="1"/>
    </font>
    <font>
      <b val="true"/>
      <sz val="11"/>
      <color rgb="FF0E9AB0"/>
      <name val="Arial"/>
      <family val="0"/>
      <charset val="1"/>
    </font>
    <font>
      <sz val="9.5"/>
      <color rgb="FF1E293B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E1B2E"/>
        <bgColor rgb="FF1E293B"/>
      </patternFill>
    </fill>
    <fill>
      <patternFill patternType="solid">
        <fgColor rgb="FF0E9AB0"/>
        <bgColor rgb="FF008080"/>
      </patternFill>
    </fill>
    <fill>
      <patternFill patternType="solid">
        <fgColor rgb="FFEAF7F9"/>
        <bgColor rgb="FFF1F5F9"/>
      </patternFill>
    </fill>
    <fill>
      <patternFill patternType="solid">
        <fgColor rgb="FFF1F5F9"/>
        <bgColor rgb="FFEAF7F9"/>
      </patternFill>
    </fill>
    <fill>
      <patternFill patternType="solid">
        <fgColor rgb="FFFFFFFF"/>
        <bgColor rgb="FFF1F5F9"/>
      </patternFill>
    </fill>
    <fill>
      <patternFill patternType="solid">
        <fgColor rgb="FFFEF3C7"/>
        <bgColor rgb="FFFEE2E2"/>
      </patternFill>
    </fill>
    <fill>
      <patternFill patternType="solid">
        <fgColor rgb="FFDBEAFE"/>
        <bgColor rgb="FFD5DEE8"/>
      </patternFill>
    </fill>
    <fill>
      <patternFill patternType="solid">
        <fgColor rgb="FFFEE2E2"/>
        <bgColor rgb="FFFEF3C7"/>
      </patternFill>
    </fill>
    <fill>
      <patternFill patternType="solid">
        <fgColor rgb="FFDCFCE7"/>
        <bgColor rgb="FFEAF7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EE8"/>
      </left>
      <right style="thin">
        <color rgb="FFD5DEE8"/>
      </right>
      <top style="thin">
        <color rgb="FFD5DEE8"/>
      </top>
      <bottom style="thin">
        <color rgb="FFD5DEE8"/>
      </bottom>
      <diagonal/>
    </border>
    <border diagonalUp="false" diagonalDown="false">
      <left style="thin">
        <color rgb="FFD5DEE8"/>
      </left>
      <right/>
      <top style="thin">
        <color rgb="FFD5DEE8"/>
      </top>
      <bottom style="thin">
        <color rgb="FFD5DE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9AB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5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7F9"/>
      <rgbColor rgb="FFDBEAFE"/>
      <rgbColor rgb="FFF1F5F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E1B2E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8"/>
  </cols>
  <sheetData>
    <row r="1" customFormat="false" ht="33.75" hidden="false" customHeight="true" outlineLevel="0" collapsed="false">
      <c r="A1" s="1" t="s">
        <v>0</v>
      </c>
      <c r="B1" s="1"/>
    </row>
    <row r="2" customFormat="false" ht="21.75" hidden="false" customHeight="true" outlineLevel="0" collapsed="false">
      <c r="A2" s="2" t="s">
        <v>1</v>
      </c>
      <c r="B2" s="2"/>
    </row>
    <row r="4" customFormat="false" ht="25.5" hidden="false" customHeight="true" outlineLevel="0" collapsed="false">
      <c r="A4" s="3" t="s">
        <v>2</v>
      </c>
      <c r="B4" s="4" t="s">
        <v>3</v>
      </c>
    </row>
    <row r="5" customFormat="false" ht="25.5" hidden="false" customHeight="true" outlineLevel="0" collapsed="false">
      <c r="A5" s="5" t="s">
        <v>4</v>
      </c>
      <c r="B5" s="6" t="s">
        <v>5</v>
      </c>
    </row>
    <row r="6" customFormat="false" ht="25.5" hidden="false" customHeight="true" outlineLevel="0" collapsed="false">
      <c r="A6" s="7" t="s">
        <v>6</v>
      </c>
      <c r="B6" s="7" t="s">
        <v>7</v>
      </c>
    </row>
    <row r="7" customFormat="false" ht="25.5" hidden="false" customHeight="true" outlineLevel="0" collapsed="false">
      <c r="A7" s="5" t="s">
        <v>8</v>
      </c>
      <c r="B7" s="6" t="s">
        <v>9</v>
      </c>
    </row>
    <row r="8" customFormat="false" ht="25.5" hidden="false" customHeight="true" outlineLevel="0" collapsed="false">
      <c r="A8" s="7" t="s">
        <v>10</v>
      </c>
      <c r="B8" s="7" t="s">
        <v>11</v>
      </c>
    </row>
    <row r="9" customFormat="false" ht="25.5" hidden="false" customHeight="true" outlineLevel="0" collapsed="false">
      <c r="A9" s="5" t="s">
        <v>12</v>
      </c>
      <c r="B9" s="6" t="s">
        <v>13</v>
      </c>
    </row>
    <row r="10" customFormat="false" ht="25.5" hidden="false" customHeight="true" outlineLevel="0" collapsed="false">
      <c r="A10" s="7" t="s">
        <v>14</v>
      </c>
      <c r="B10" s="7" t="s">
        <v>15</v>
      </c>
    </row>
    <row r="12" customFormat="false" ht="15" hidden="false" customHeight="false" outlineLevel="0" collapsed="false">
      <c r="A12" s="8" t="s">
        <v>16</v>
      </c>
      <c r="B12" s="8" t="s">
        <v>17</v>
      </c>
    </row>
    <row r="13" customFormat="false" ht="21.75" hidden="false" customHeight="true" outlineLevel="0" collapsed="false">
      <c r="A13" s="9" t="s">
        <v>18</v>
      </c>
      <c r="B13" s="9"/>
    </row>
    <row r="14" customFormat="false" ht="21.75" hidden="false" customHeight="true" outlineLevel="0" collapsed="false">
      <c r="A14" s="9" t="s">
        <v>19</v>
      </c>
      <c r="B14" s="9"/>
    </row>
    <row r="15" customFormat="false" ht="21.75" hidden="false" customHeight="true" outlineLevel="0" collapsed="false">
      <c r="A15" s="9" t="s">
        <v>20</v>
      </c>
      <c r="B15" s="9"/>
    </row>
    <row r="16" customFormat="false" ht="21.75" hidden="false" customHeight="true" outlineLevel="0" collapsed="false">
      <c r="A16" s="9" t="s">
        <v>21</v>
      </c>
      <c r="B16" s="9"/>
    </row>
  </sheetData>
  <mergeCells count="6">
    <mergeCell ref="A1:B1"/>
    <mergeCell ref="A2:B2"/>
    <mergeCell ref="A13:B13"/>
    <mergeCell ref="A14:B14"/>
    <mergeCell ref="A15:B15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2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22"/>
  </cols>
  <sheetData>
    <row r="1" customFormat="false" ht="33.75" hidden="false" customHeight="true" outlineLevel="0" collapsed="false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23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10" t="s">
        <v>24</v>
      </c>
      <c r="B4" s="10" t="s">
        <v>25</v>
      </c>
      <c r="C4" s="10" t="s">
        <v>26</v>
      </c>
      <c r="D4" s="10" t="s">
        <v>27</v>
      </c>
      <c r="E4" s="10" t="s">
        <v>28</v>
      </c>
      <c r="F4" s="10" t="s">
        <v>29</v>
      </c>
      <c r="G4" s="10" t="s">
        <v>30</v>
      </c>
      <c r="H4" s="10" t="s">
        <v>31</v>
      </c>
      <c r="I4" s="10" t="s">
        <v>32</v>
      </c>
      <c r="J4" s="10" t="s">
        <v>33</v>
      </c>
    </row>
    <row r="5" customFormat="false" ht="30" hidden="false" customHeight="true" outlineLevel="0" collapsed="false">
      <c r="A5" s="11" t="n">
        <v>1</v>
      </c>
      <c r="B5" s="12" t="s">
        <v>34</v>
      </c>
      <c r="C5" s="5" t="s">
        <v>35</v>
      </c>
      <c r="D5" s="13" t="s">
        <v>36</v>
      </c>
      <c r="E5" s="13" t="s">
        <v>37</v>
      </c>
      <c r="F5" s="13" t="s">
        <v>38</v>
      </c>
      <c r="G5" s="13" t="s">
        <v>39</v>
      </c>
      <c r="H5" s="14" t="s">
        <v>40</v>
      </c>
      <c r="I5" s="11" t="s">
        <v>41</v>
      </c>
      <c r="J5" s="13" t="s">
        <v>42</v>
      </c>
    </row>
    <row r="6" customFormat="false" ht="30" hidden="false" customHeight="true" outlineLevel="0" collapsed="false">
      <c r="A6" s="11" t="n">
        <v>2</v>
      </c>
      <c r="B6" s="12" t="s">
        <v>43</v>
      </c>
      <c r="C6" s="5" t="s">
        <v>44</v>
      </c>
      <c r="D6" s="13" t="s">
        <v>45</v>
      </c>
      <c r="E6" s="13" t="s">
        <v>46</v>
      </c>
      <c r="F6" s="13" t="s">
        <v>47</v>
      </c>
      <c r="G6" s="13" t="s">
        <v>48</v>
      </c>
      <c r="H6" s="14" t="s">
        <v>40</v>
      </c>
      <c r="I6" s="11" t="s">
        <v>49</v>
      </c>
      <c r="J6" s="13" t="s">
        <v>50</v>
      </c>
    </row>
    <row r="7" customFormat="false" ht="30" hidden="false" customHeight="true" outlineLevel="0" collapsed="false">
      <c r="A7" s="11" t="n">
        <v>3</v>
      </c>
      <c r="B7" s="12" t="s">
        <v>51</v>
      </c>
      <c r="C7" s="5" t="s">
        <v>52</v>
      </c>
      <c r="D7" s="13" t="s">
        <v>53</v>
      </c>
      <c r="E7" s="13" t="s">
        <v>54</v>
      </c>
      <c r="F7" s="13" t="s">
        <v>55</v>
      </c>
      <c r="G7" s="13" t="s">
        <v>56</v>
      </c>
      <c r="H7" s="15" t="s">
        <v>57</v>
      </c>
      <c r="I7" s="11" t="s">
        <v>58</v>
      </c>
      <c r="J7" s="13" t="s">
        <v>59</v>
      </c>
    </row>
    <row r="8" customFormat="false" ht="30" hidden="false" customHeight="true" outlineLevel="0" collapsed="false">
      <c r="A8" s="11" t="n">
        <v>4</v>
      </c>
      <c r="B8" s="12" t="s">
        <v>60</v>
      </c>
      <c r="C8" s="5" t="s">
        <v>61</v>
      </c>
      <c r="D8" s="13" t="s">
        <v>62</v>
      </c>
      <c r="E8" s="13" t="s">
        <v>63</v>
      </c>
      <c r="F8" s="13" t="s">
        <v>64</v>
      </c>
      <c r="G8" s="13" t="s">
        <v>61</v>
      </c>
      <c r="H8" s="15" t="s">
        <v>57</v>
      </c>
      <c r="I8" s="11" t="s">
        <v>41</v>
      </c>
      <c r="J8" s="13" t="s">
        <v>65</v>
      </c>
    </row>
    <row r="9" customFormat="false" ht="30" hidden="false" customHeight="true" outlineLevel="0" collapsed="false">
      <c r="A9" s="11" t="n">
        <v>5</v>
      </c>
      <c r="B9" s="12" t="s">
        <v>66</v>
      </c>
      <c r="C9" s="5" t="s">
        <v>61</v>
      </c>
      <c r="D9" s="13" t="s">
        <v>67</v>
      </c>
      <c r="E9" s="13" t="s">
        <v>68</v>
      </c>
      <c r="F9" s="13" t="s">
        <v>69</v>
      </c>
      <c r="G9" s="13" t="s">
        <v>56</v>
      </c>
      <c r="H9" s="15" t="s">
        <v>57</v>
      </c>
      <c r="I9" s="11" t="s">
        <v>41</v>
      </c>
      <c r="J9" s="13" t="s">
        <v>70</v>
      </c>
    </row>
    <row r="10" customFormat="false" ht="30" hidden="false" customHeight="true" outlineLevel="0" collapsed="false">
      <c r="A10" s="11" t="n">
        <v>6</v>
      </c>
      <c r="B10" s="12" t="s">
        <v>71</v>
      </c>
      <c r="C10" s="5" t="s">
        <v>52</v>
      </c>
      <c r="D10" s="13" t="s">
        <v>72</v>
      </c>
      <c r="E10" s="13" t="s">
        <v>73</v>
      </c>
      <c r="F10" s="13" t="s">
        <v>74</v>
      </c>
      <c r="G10" s="13" t="s">
        <v>75</v>
      </c>
      <c r="H10" s="14" t="s">
        <v>40</v>
      </c>
      <c r="I10" s="11" t="s">
        <v>49</v>
      </c>
      <c r="J10" s="13" t="s">
        <v>76</v>
      </c>
    </row>
    <row r="11" customFormat="false" ht="30" hidden="false" customHeight="true" outlineLevel="0" collapsed="false">
      <c r="A11" s="11" t="n">
        <v>7</v>
      </c>
      <c r="B11" s="12" t="s">
        <v>77</v>
      </c>
      <c r="C11" s="5" t="s">
        <v>78</v>
      </c>
      <c r="D11" s="13" t="s">
        <v>79</v>
      </c>
      <c r="E11" s="13" t="s">
        <v>80</v>
      </c>
      <c r="F11" s="13" t="s">
        <v>81</v>
      </c>
      <c r="G11" s="13" t="s">
        <v>75</v>
      </c>
      <c r="H11" s="14" t="s">
        <v>40</v>
      </c>
      <c r="I11" s="11" t="s">
        <v>82</v>
      </c>
      <c r="J11" s="13" t="s">
        <v>83</v>
      </c>
    </row>
    <row r="12" customFormat="false" ht="30" hidden="false" customHeight="true" outlineLevel="0" collapsed="false">
      <c r="A12" s="11" t="n">
        <v>8</v>
      </c>
      <c r="B12" s="12" t="s">
        <v>84</v>
      </c>
      <c r="C12" s="5" t="s">
        <v>78</v>
      </c>
      <c r="D12" s="13" t="s">
        <v>85</v>
      </c>
      <c r="E12" s="13" t="s">
        <v>86</v>
      </c>
      <c r="F12" s="13" t="s">
        <v>87</v>
      </c>
      <c r="G12" s="13" t="s">
        <v>88</v>
      </c>
      <c r="H12" s="14" t="s">
        <v>40</v>
      </c>
      <c r="I12" s="11" t="s">
        <v>49</v>
      </c>
      <c r="J12" s="13" t="s">
        <v>89</v>
      </c>
    </row>
    <row r="13" customFormat="false" ht="30" hidden="false" customHeight="true" outlineLevel="0" collapsed="false">
      <c r="A13" s="11" t="n">
        <v>9</v>
      </c>
      <c r="B13" s="12" t="s">
        <v>90</v>
      </c>
      <c r="C13" s="5" t="s">
        <v>35</v>
      </c>
      <c r="D13" s="13" t="s">
        <v>91</v>
      </c>
      <c r="E13" s="13" t="s">
        <v>92</v>
      </c>
      <c r="F13" s="13" t="s">
        <v>93</v>
      </c>
      <c r="G13" s="13" t="s">
        <v>39</v>
      </c>
      <c r="H13" s="14" t="s">
        <v>40</v>
      </c>
      <c r="I13" s="11" t="s">
        <v>49</v>
      </c>
      <c r="J13" s="13" t="s">
        <v>94</v>
      </c>
    </row>
    <row r="14" customFormat="false" ht="30" hidden="false" customHeight="true" outlineLevel="0" collapsed="false">
      <c r="A14" s="11" t="n">
        <v>10</v>
      </c>
      <c r="B14" s="12" t="s">
        <v>95</v>
      </c>
      <c r="C14" s="5" t="s">
        <v>44</v>
      </c>
      <c r="D14" s="13" t="s">
        <v>96</v>
      </c>
      <c r="E14" s="13" t="s">
        <v>97</v>
      </c>
      <c r="F14" s="13" t="s">
        <v>98</v>
      </c>
      <c r="G14" s="13" t="s">
        <v>99</v>
      </c>
      <c r="H14" s="16" t="s">
        <v>100</v>
      </c>
      <c r="I14" s="11" t="s">
        <v>82</v>
      </c>
      <c r="J14" s="13" t="s">
        <v>101</v>
      </c>
    </row>
    <row r="15" customFormat="false" ht="25.5" hidden="false" customHeight="true" outlineLevel="0" collapsed="false">
      <c r="A15" s="11" t="n">
        <v>4</v>
      </c>
      <c r="B15" s="13"/>
      <c r="C15" s="13"/>
      <c r="D15" s="13"/>
      <c r="E15" s="13"/>
      <c r="F15" s="13"/>
      <c r="G15" s="13"/>
      <c r="H15" s="13"/>
      <c r="I15" s="13"/>
      <c r="J15" s="13"/>
    </row>
    <row r="16" customFormat="false" ht="25.5" hidden="false" customHeight="true" outlineLevel="0" collapsed="false">
      <c r="A16" s="11" t="n">
        <v>5</v>
      </c>
      <c r="B16" s="13"/>
      <c r="C16" s="13"/>
      <c r="D16" s="13"/>
      <c r="E16" s="13"/>
      <c r="F16" s="13"/>
      <c r="G16" s="13"/>
      <c r="H16" s="13"/>
      <c r="I16" s="13"/>
      <c r="J16" s="13"/>
    </row>
    <row r="17" customFormat="false" ht="25.5" hidden="false" customHeight="true" outlineLevel="0" collapsed="false">
      <c r="A17" s="11" t="n">
        <v>6</v>
      </c>
      <c r="B17" s="13"/>
      <c r="C17" s="13"/>
      <c r="D17" s="13"/>
      <c r="E17" s="13"/>
      <c r="F17" s="13"/>
      <c r="G17" s="13"/>
      <c r="H17" s="13"/>
      <c r="I17" s="13"/>
      <c r="J17" s="13"/>
    </row>
    <row r="18" customFormat="false" ht="25.5" hidden="false" customHeight="true" outlineLevel="0" collapsed="false">
      <c r="A18" s="11" t="n">
        <v>7</v>
      </c>
      <c r="B18" s="13"/>
      <c r="C18" s="13"/>
      <c r="D18" s="13"/>
      <c r="E18" s="13"/>
      <c r="F18" s="13"/>
      <c r="G18" s="13"/>
      <c r="H18" s="13"/>
      <c r="I18" s="13"/>
      <c r="J18" s="13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7"/>
    <col collapsed="false" customWidth="true" hidden="false" outlineLevel="0" max="6" min="5" style="0" width="12"/>
    <col collapsed="false" customWidth="true" hidden="false" outlineLevel="0" max="7" min="7" style="0" width="24"/>
    <col collapsed="false" customWidth="true" hidden="false" outlineLevel="0" max="8" min="8" style="0" width="16"/>
    <col collapsed="false" customWidth="true" hidden="false" outlineLevel="0" max="11" min="9" style="0" width="14"/>
  </cols>
  <sheetData>
    <row r="1" customFormat="false" ht="33.75" hidden="false" customHeight="true" outlineLevel="0" collapsed="false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103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0" hidden="false" customHeight="true" outlineLevel="0" collapsed="false">
      <c r="A4" s="10" t="s">
        <v>24</v>
      </c>
      <c r="B4" s="10" t="s">
        <v>104</v>
      </c>
      <c r="C4" s="10" t="s">
        <v>105</v>
      </c>
      <c r="D4" s="10" t="s">
        <v>106</v>
      </c>
      <c r="E4" s="10" t="s">
        <v>107</v>
      </c>
      <c r="F4" s="10" t="s">
        <v>108</v>
      </c>
      <c r="G4" s="10" t="s">
        <v>109</v>
      </c>
      <c r="H4" s="10" t="s">
        <v>110</v>
      </c>
      <c r="I4" s="10" t="s">
        <v>111</v>
      </c>
      <c r="J4" s="10" t="s">
        <v>112</v>
      </c>
      <c r="K4" s="10" t="s">
        <v>113</v>
      </c>
    </row>
    <row r="5" customFormat="false" ht="30" hidden="false" customHeight="true" outlineLevel="0" collapsed="false">
      <c r="A5" s="11" t="n">
        <v>1</v>
      </c>
      <c r="B5" s="12" t="s">
        <v>114</v>
      </c>
      <c r="C5" s="13" t="s">
        <v>115</v>
      </c>
      <c r="D5" s="17" t="s">
        <v>116</v>
      </c>
      <c r="E5" s="11" t="s">
        <v>117</v>
      </c>
      <c r="F5" s="11" t="s">
        <v>117</v>
      </c>
      <c r="G5" s="13" t="s">
        <v>118</v>
      </c>
      <c r="H5" s="11" t="s">
        <v>119</v>
      </c>
      <c r="I5" s="11" t="s">
        <v>120</v>
      </c>
      <c r="J5" s="11" t="s">
        <v>117</v>
      </c>
      <c r="K5" s="11" t="s">
        <v>121</v>
      </c>
    </row>
    <row r="6" customFormat="false" ht="30" hidden="false" customHeight="true" outlineLevel="0" collapsed="false">
      <c r="A6" s="11" t="n">
        <v>2</v>
      </c>
      <c r="B6" s="12" t="s">
        <v>122</v>
      </c>
      <c r="C6" s="13" t="s">
        <v>123</v>
      </c>
      <c r="D6" s="15" t="s">
        <v>57</v>
      </c>
      <c r="E6" s="11" t="s">
        <v>117</v>
      </c>
      <c r="F6" s="11" t="s">
        <v>117</v>
      </c>
      <c r="G6" s="13" t="s">
        <v>124</v>
      </c>
      <c r="H6" s="11" t="s">
        <v>125</v>
      </c>
      <c r="I6" s="11" t="s">
        <v>126</v>
      </c>
      <c r="J6" s="11" t="s">
        <v>117</v>
      </c>
      <c r="K6" s="11" t="s">
        <v>121</v>
      </c>
    </row>
    <row r="7" customFormat="false" ht="30" hidden="false" customHeight="true" outlineLevel="0" collapsed="false">
      <c r="A7" s="11" t="n">
        <v>3</v>
      </c>
      <c r="B7" s="12" t="s">
        <v>127</v>
      </c>
      <c r="C7" s="13" t="s">
        <v>128</v>
      </c>
      <c r="D7" s="15" t="s">
        <v>57</v>
      </c>
      <c r="E7" s="11" t="s">
        <v>117</v>
      </c>
      <c r="F7" s="11" t="s">
        <v>126</v>
      </c>
      <c r="G7" s="13" t="s">
        <v>129</v>
      </c>
      <c r="H7" s="11" t="s">
        <v>130</v>
      </c>
      <c r="I7" s="11" t="s">
        <v>131</v>
      </c>
      <c r="J7" s="11" t="s">
        <v>117</v>
      </c>
      <c r="K7" s="11" t="s">
        <v>121</v>
      </c>
    </row>
    <row r="8" customFormat="false" ht="30" hidden="false" customHeight="true" outlineLevel="0" collapsed="false">
      <c r="A8" s="11" t="n">
        <v>4</v>
      </c>
      <c r="B8" s="12" t="s">
        <v>132</v>
      </c>
      <c r="C8" s="13" t="s">
        <v>34</v>
      </c>
      <c r="D8" s="14" t="s">
        <v>40</v>
      </c>
      <c r="E8" s="11" t="s">
        <v>117</v>
      </c>
      <c r="F8" s="11" t="s">
        <v>131</v>
      </c>
      <c r="G8" s="13" t="s">
        <v>133</v>
      </c>
      <c r="H8" s="11" t="s">
        <v>134</v>
      </c>
      <c r="I8" s="11" t="s">
        <v>131</v>
      </c>
      <c r="J8" s="11" t="s">
        <v>117</v>
      </c>
      <c r="K8" s="11" t="s">
        <v>121</v>
      </c>
    </row>
    <row r="9" customFormat="false" ht="30" hidden="false" customHeight="true" outlineLevel="0" collapsed="false">
      <c r="A9" s="11" t="n">
        <v>5</v>
      </c>
      <c r="B9" s="12" t="s">
        <v>135</v>
      </c>
      <c r="C9" s="13" t="s">
        <v>136</v>
      </c>
      <c r="D9" s="14" t="s">
        <v>40</v>
      </c>
      <c r="E9" s="11" t="s">
        <v>117</v>
      </c>
      <c r="F9" s="11" t="s">
        <v>131</v>
      </c>
      <c r="G9" s="13" t="s">
        <v>88</v>
      </c>
      <c r="H9" s="11" t="s">
        <v>137</v>
      </c>
      <c r="I9" s="11" t="s">
        <v>131</v>
      </c>
      <c r="J9" s="11" t="s">
        <v>117</v>
      </c>
      <c r="K9" s="11" t="s">
        <v>121</v>
      </c>
    </row>
    <row r="10" customFormat="false" ht="30" hidden="false" customHeight="true" outlineLevel="0" collapsed="false">
      <c r="A10" s="11" t="n">
        <v>6</v>
      </c>
      <c r="B10" s="12" t="s">
        <v>138</v>
      </c>
      <c r="C10" s="13" t="s">
        <v>139</v>
      </c>
      <c r="D10" s="16" t="s">
        <v>100</v>
      </c>
      <c r="E10" s="18" t="s">
        <v>131</v>
      </c>
      <c r="F10" s="11" t="s">
        <v>131</v>
      </c>
      <c r="G10" s="13" t="s">
        <v>140</v>
      </c>
      <c r="H10" s="11" t="s">
        <v>141</v>
      </c>
      <c r="I10" s="11" t="s">
        <v>142</v>
      </c>
      <c r="J10" s="18" t="s">
        <v>131</v>
      </c>
      <c r="K10" s="11" t="s">
        <v>121</v>
      </c>
    </row>
    <row r="11" customFormat="false" ht="30" hidden="false" customHeight="true" outlineLevel="0" collapsed="false">
      <c r="A11" s="11" t="n">
        <v>7</v>
      </c>
      <c r="B11" s="12" t="s">
        <v>143</v>
      </c>
      <c r="C11" s="13" t="s">
        <v>144</v>
      </c>
      <c r="D11" s="16" t="s">
        <v>100</v>
      </c>
      <c r="E11" s="18" t="s">
        <v>131</v>
      </c>
      <c r="F11" s="11" t="s">
        <v>142</v>
      </c>
      <c r="G11" s="13" t="s">
        <v>145</v>
      </c>
      <c r="H11" s="11" t="s">
        <v>146</v>
      </c>
      <c r="I11" s="11" t="s">
        <v>142</v>
      </c>
      <c r="J11" s="18" t="s">
        <v>147</v>
      </c>
      <c r="K11" s="11" t="s">
        <v>121</v>
      </c>
    </row>
    <row r="12" customFormat="false" ht="30" hidden="false" customHeight="true" outlineLevel="0" collapsed="false">
      <c r="A12" s="11" t="n">
        <v>8</v>
      </c>
      <c r="B12" s="12" t="s">
        <v>148</v>
      </c>
      <c r="C12" s="13" t="s">
        <v>149</v>
      </c>
      <c r="D12" s="16" t="s">
        <v>100</v>
      </c>
      <c r="E12" s="18" t="s">
        <v>131</v>
      </c>
      <c r="F12" s="11" t="s">
        <v>142</v>
      </c>
      <c r="G12" s="13" t="s">
        <v>150</v>
      </c>
      <c r="H12" s="11" t="s">
        <v>141</v>
      </c>
      <c r="I12" s="11" t="s">
        <v>142</v>
      </c>
      <c r="J12" s="18" t="s">
        <v>131</v>
      </c>
      <c r="K12" s="11" t="s">
        <v>121</v>
      </c>
    </row>
  </sheetData>
  <mergeCells count="2">
    <mergeCell ref="A1:K1"/>
    <mergeCell ref="A2:K2"/>
  </mergeCells>
  <dataValidations count="1">
    <dataValidation allowBlank="true" errorStyle="stop" operator="between" showDropDown="false" showErrorMessage="false" showInputMessage="false" sqref="K5:K12" type="list">
      <formula1>"☐ ยังไม่จัด,◑ กำลังจัด,☑ จัดแล้ว"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24"/>
  </cols>
  <sheetData>
    <row r="1" customFormat="false" ht="33.75" hidden="false" customHeight="true" outlineLevel="0" collapsed="false">
      <c r="A1" s="1" t="s">
        <v>151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152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19" t="s">
        <v>153</v>
      </c>
      <c r="B3" s="20" t="str">
        <f aca="false">COUNTIF(E6:E25,"เสร็จ")&amp;" / "&amp;COUNTA(E6:E25)&amp;" งานเสร็จ"</f>
        <v>0 / 15 งานเสร็จ</v>
      </c>
    </row>
    <row r="4" customFormat="false" ht="30" hidden="false" customHeight="true" outlineLevel="0" collapsed="false">
      <c r="A4" s="10" t="s">
        <v>154</v>
      </c>
      <c r="B4" s="10" t="s">
        <v>155</v>
      </c>
      <c r="C4" s="10" t="s">
        <v>156</v>
      </c>
      <c r="D4" s="10" t="s">
        <v>157</v>
      </c>
      <c r="E4" s="10" t="s">
        <v>113</v>
      </c>
      <c r="F4" s="10" t="s">
        <v>158</v>
      </c>
    </row>
    <row r="5" customFormat="false" ht="24" hidden="false" customHeight="true" outlineLevel="0" collapsed="false">
      <c r="A5" s="21" t="s">
        <v>159</v>
      </c>
      <c r="B5" s="21"/>
      <c r="C5" s="21"/>
      <c r="D5" s="21"/>
      <c r="E5" s="21"/>
      <c r="F5" s="21"/>
    </row>
    <row r="6" customFormat="false" ht="24" hidden="false" customHeight="true" outlineLevel="0" collapsed="false">
      <c r="A6" s="13" t="s">
        <v>160</v>
      </c>
      <c r="B6" s="13" t="s">
        <v>161</v>
      </c>
      <c r="C6" s="13" t="s">
        <v>162</v>
      </c>
      <c r="D6" s="13"/>
      <c r="E6" s="11" t="s">
        <v>163</v>
      </c>
      <c r="F6" s="13"/>
    </row>
    <row r="7" customFormat="false" ht="24" hidden="false" customHeight="true" outlineLevel="0" collapsed="false">
      <c r="A7" s="13" t="s">
        <v>164</v>
      </c>
      <c r="B7" s="13" t="s">
        <v>165</v>
      </c>
      <c r="C7" s="13" t="s">
        <v>166</v>
      </c>
      <c r="D7" s="13"/>
      <c r="E7" s="11" t="s">
        <v>163</v>
      </c>
      <c r="F7" s="13"/>
    </row>
    <row r="8" customFormat="false" ht="24" hidden="false" customHeight="true" outlineLevel="0" collapsed="false">
      <c r="A8" s="13" t="s">
        <v>167</v>
      </c>
      <c r="B8" s="13" t="s">
        <v>168</v>
      </c>
      <c r="C8" s="13" t="s">
        <v>169</v>
      </c>
      <c r="D8" s="13"/>
      <c r="E8" s="11" t="s">
        <v>163</v>
      </c>
      <c r="F8" s="13"/>
    </row>
    <row r="9" customFormat="false" ht="24" hidden="false" customHeight="true" outlineLevel="0" collapsed="false">
      <c r="A9" s="21" t="s">
        <v>170</v>
      </c>
      <c r="B9" s="21"/>
      <c r="C9" s="21"/>
      <c r="D9" s="21"/>
      <c r="E9" s="21"/>
      <c r="F9" s="21"/>
    </row>
    <row r="10" customFormat="false" ht="24" hidden="false" customHeight="true" outlineLevel="0" collapsed="false">
      <c r="A10" s="13" t="s">
        <v>171</v>
      </c>
      <c r="B10" s="13" t="s">
        <v>165</v>
      </c>
      <c r="C10" s="13" t="s">
        <v>162</v>
      </c>
      <c r="D10" s="13"/>
      <c r="E10" s="11" t="s">
        <v>163</v>
      </c>
      <c r="F10" s="13"/>
    </row>
    <row r="11" customFormat="false" ht="24" hidden="false" customHeight="true" outlineLevel="0" collapsed="false">
      <c r="A11" s="13" t="s">
        <v>172</v>
      </c>
      <c r="B11" s="13" t="s">
        <v>173</v>
      </c>
      <c r="C11" s="13" t="s">
        <v>162</v>
      </c>
      <c r="D11" s="13"/>
      <c r="E11" s="11" t="s">
        <v>163</v>
      </c>
      <c r="F11" s="13"/>
    </row>
    <row r="12" customFormat="false" ht="24" hidden="false" customHeight="true" outlineLevel="0" collapsed="false">
      <c r="A12" s="13" t="s">
        <v>174</v>
      </c>
      <c r="B12" s="13" t="s">
        <v>175</v>
      </c>
      <c r="C12" s="13" t="s">
        <v>176</v>
      </c>
      <c r="D12" s="13"/>
      <c r="E12" s="11" t="s">
        <v>163</v>
      </c>
      <c r="F12" s="13"/>
    </row>
    <row r="13" customFormat="false" ht="24" hidden="false" customHeight="true" outlineLevel="0" collapsed="false">
      <c r="A13" s="21" t="s">
        <v>177</v>
      </c>
      <c r="B13" s="21"/>
      <c r="C13" s="21"/>
      <c r="D13" s="21"/>
      <c r="E13" s="21"/>
      <c r="F13" s="21"/>
    </row>
    <row r="14" customFormat="false" ht="24" hidden="false" customHeight="true" outlineLevel="0" collapsed="false">
      <c r="A14" s="13" t="s">
        <v>178</v>
      </c>
      <c r="B14" s="13" t="s">
        <v>165</v>
      </c>
      <c r="C14" s="13" t="s">
        <v>179</v>
      </c>
      <c r="D14" s="13"/>
      <c r="E14" s="11" t="s">
        <v>163</v>
      </c>
      <c r="F14" s="13"/>
    </row>
    <row r="15" customFormat="false" ht="24" hidden="false" customHeight="true" outlineLevel="0" collapsed="false">
      <c r="A15" s="13" t="s">
        <v>180</v>
      </c>
      <c r="B15" s="13" t="s">
        <v>181</v>
      </c>
      <c r="C15" s="13" t="s">
        <v>119</v>
      </c>
      <c r="D15" s="13"/>
      <c r="E15" s="11" t="s">
        <v>163</v>
      </c>
      <c r="F15" s="13"/>
    </row>
    <row r="16" customFormat="false" ht="24" hidden="false" customHeight="true" outlineLevel="0" collapsed="false">
      <c r="A16" s="21" t="s">
        <v>182</v>
      </c>
      <c r="B16" s="21"/>
      <c r="C16" s="21"/>
      <c r="D16" s="21"/>
      <c r="E16" s="21"/>
      <c r="F16" s="21"/>
    </row>
    <row r="17" customFormat="false" ht="24" hidden="false" customHeight="true" outlineLevel="0" collapsed="false">
      <c r="A17" s="13" t="s">
        <v>183</v>
      </c>
      <c r="B17" s="13" t="s">
        <v>75</v>
      </c>
      <c r="C17" s="13" t="s">
        <v>119</v>
      </c>
      <c r="D17" s="13"/>
      <c r="E17" s="11" t="s">
        <v>163</v>
      </c>
      <c r="F17" s="13"/>
    </row>
    <row r="18" customFormat="false" ht="24" hidden="false" customHeight="true" outlineLevel="0" collapsed="false">
      <c r="A18" s="13" t="s">
        <v>184</v>
      </c>
      <c r="B18" s="13" t="s">
        <v>185</v>
      </c>
      <c r="C18" s="13" t="s">
        <v>186</v>
      </c>
      <c r="D18" s="13"/>
      <c r="E18" s="11" t="s">
        <v>163</v>
      </c>
      <c r="F18" s="13"/>
    </row>
    <row r="19" customFormat="false" ht="24" hidden="false" customHeight="true" outlineLevel="0" collapsed="false">
      <c r="A19" s="21" t="s">
        <v>187</v>
      </c>
      <c r="B19" s="21"/>
      <c r="C19" s="21"/>
      <c r="D19" s="21"/>
      <c r="E19" s="21"/>
      <c r="F19" s="21"/>
    </row>
    <row r="20" customFormat="false" ht="24" hidden="false" customHeight="true" outlineLevel="0" collapsed="false">
      <c r="A20" s="13" t="s">
        <v>188</v>
      </c>
      <c r="B20" s="13" t="s">
        <v>181</v>
      </c>
      <c r="C20" s="13" t="s">
        <v>189</v>
      </c>
      <c r="D20" s="13"/>
      <c r="E20" s="11" t="s">
        <v>163</v>
      </c>
      <c r="F20" s="13"/>
    </row>
    <row r="21" customFormat="false" ht="24" hidden="false" customHeight="true" outlineLevel="0" collapsed="false">
      <c r="A21" s="13" t="s">
        <v>190</v>
      </c>
      <c r="B21" s="13" t="s">
        <v>191</v>
      </c>
      <c r="C21" s="13" t="s">
        <v>169</v>
      </c>
      <c r="D21" s="13"/>
      <c r="E21" s="11" t="s">
        <v>163</v>
      </c>
      <c r="F21" s="13"/>
    </row>
    <row r="22" customFormat="false" ht="24" hidden="false" customHeight="true" outlineLevel="0" collapsed="false">
      <c r="A22" s="13" t="s">
        <v>192</v>
      </c>
      <c r="B22" s="13" t="s">
        <v>193</v>
      </c>
      <c r="C22" s="13" t="s">
        <v>119</v>
      </c>
      <c r="D22" s="13"/>
      <c r="E22" s="11" t="s">
        <v>163</v>
      </c>
      <c r="F22" s="13"/>
    </row>
    <row r="23" customFormat="false" ht="24" hidden="false" customHeight="true" outlineLevel="0" collapsed="false">
      <c r="A23" s="21" t="s">
        <v>194</v>
      </c>
      <c r="B23" s="21"/>
      <c r="C23" s="21"/>
      <c r="D23" s="21"/>
      <c r="E23" s="21"/>
      <c r="F23" s="21"/>
    </row>
    <row r="24" customFormat="false" ht="24" hidden="false" customHeight="true" outlineLevel="0" collapsed="false">
      <c r="A24" s="13" t="s">
        <v>195</v>
      </c>
      <c r="B24" s="13" t="s">
        <v>196</v>
      </c>
      <c r="C24" s="13" t="s">
        <v>197</v>
      </c>
      <c r="D24" s="13"/>
      <c r="E24" s="11" t="s">
        <v>163</v>
      </c>
      <c r="F24" s="13"/>
    </row>
    <row r="25" customFormat="false" ht="24" hidden="false" customHeight="true" outlineLevel="0" collapsed="false">
      <c r="A25" s="13" t="s">
        <v>198</v>
      </c>
      <c r="B25" s="13" t="s">
        <v>88</v>
      </c>
      <c r="C25" s="13" t="s">
        <v>179</v>
      </c>
      <c r="D25" s="13"/>
      <c r="E25" s="11" t="s">
        <v>163</v>
      </c>
      <c r="F25" s="13"/>
    </row>
  </sheetData>
  <mergeCells count="8">
    <mergeCell ref="A1:F1"/>
    <mergeCell ref="A2:F2"/>
    <mergeCell ref="A5:F5"/>
    <mergeCell ref="A9:F9"/>
    <mergeCell ref="A13:F13"/>
    <mergeCell ref="A16:F16"/>
    <mergeCell ref="A19:F19"/>
    <mergeCell ref="A23:F23"/>
  </mergeCells>
  <dataValidations count="1">
    <dataValidation allowBlank="false" errorStyle="stop" operator="between" showDropDown="false" showErrorMessage="false" showInputMessage="false" sqref="E6:E25" type="list">
      <formula1>"ยังไม่เริ่ม,กำลังทำ,เสร็จ"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33.75" hidden="false" customHeight="true" outlineLevel="0" collapsed="false">
      <c r="A1" s="1" t="s">
        <v>199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200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10" t="s">
        <v>201</v>
      </c>
      <c r="B4" s="10" t="s">
        <v>202</v>
      </c>
      <c r="C4" s="10" t="s">
        <v>203</v>
      </c>
      <c r="D4" s="10" t="s">
        <v>204</v>
      </c>
      <c r="E4" s="10" t="s">
        <v>205</v>
      </c>
      <c r="F4" s="10" t="s">
        <v>206</v>
      </c>
      <c r="G4" s="10" t="s">
        <v>207</v>
      </c>
      <c r="H4" s="10" t="s">
        <v>113</v>
      </c>
    </row>
    <row r="5" customFormat="false" ht="25.5" hidden="false" customHeight="true" outlineLevel="0" collapsed="false">
      <c r="A5" s="12" t="s">
        <v>208</v>
      </c>
      <c r="B5" s="22" t="s">
        <v>209</v>
      </c>
      <c r="C5" s="11" t="s">
        <v>210</v>
      </c>
      <c r="D5" s="11" t="n">
        <v>1</v>
      </c>
      <c r="E5" s="11" t="n">
        <v>3</v>
      </c>
      <c r="F5" s="23" t="n">
        <f aca="false">D5+E5-1</f>
        <v>3</v>
      </c>
      <c r="G5" s="13" t="s">
        <v>119</v>
      </c>
      <c r="H5" s="11" t="s">
        <v>163</v>
      </c>
    </row>
    <row r="6" customFormat="false" ht="25.5" hidden="false" customHeight="true" outlineLevel="0" collapsed="false">
      <c r="A6" s="12" t="s">
        <v>211</v>
      </c>
      <c r="B6" s="22" t="s">
        <v>212</v>
      </c>
      <c r="C6" s="11" t="s">
        <v>210</v>
      </c>
      <c r="D6" s="11" t="n">
        <v>3</v>
      </c>
      <c r="E6" s="11" t="n">
        <v>2</v>
      </c>
      <c r="F6" s="23" t="n">
        <f aca="false">D6+E6-1</f>
        <v>4</v>
      </c>
      <c r="G6" s="13" t="s">
        <v>213</v>
      </c>
      <c r="H6" s="11" t="s">
        <v>163</v>
      </c>
    </row>
    <row r="7" customFormat="false" ht="25.5" hidden="false" customHeight="true" outlineLevel="0" collapsed="false">
      <c r="A7" s="12" t="s">
        <v>214</v>
      </c>
      <c r="B7" s="22" t="s">
        <v>215</v>
      </c>
      <c r="C7" s="11" t="s">
        <v>210</v>
      </c>
      <c r="D7" s="11" t="n">
        <v>4</v>
      </c>
      <c r="E7" s="11" t="n">
        <v>3</v>
      </c>
      <c r="F7" s="23" t="n">
        <f aca="false">D7+E7-1</f>
        <v>6</v>
      </c>
      <c r="G7" s="13" t="s">
        <v>216</v>
      </c>
      <c r="H7" s="11" t="s">
        <v>163</v>
      </c>
    </row>
    <row r="8" customFormat="false" ht="25.5" hidden="false" customHeight="true" outlineLevel="0" collapsed="false">
      <c r="A8" s="12" t="s">
        <v>217</v>
      </c>
      <c r="B8" s="22" t="s">
        <v>218</v>
      </c>
      <c r="C8" s="11" t="s">
        <v>210</v>
      </c>
      <c r="D8" s="11" t="n">
        <v>6</v>
      </c>
      <c r="E8" s="11" t="n">
        <v>2</v>
      </c>
      <c r="F8" s="23" t="n">
        <f aca="false">D8+E8-1</f>
        <v>7</v>
      </c>
      <c r="G8" s="13" t="s">
        <v>219</v>
      </c>
      <c r="H8" s="11" t="s">
        <v>163</v>
      </c>
    </row>
    <row r="9" customFormat="false" ht="25.5" hidden="false" customHeight="true" outlineLevel="0" collapsed="false">
      <c r="A9" s="12" t="s">
        <v>220</v>
      </c>
      <c r="B9" s="22" t="s">
        <v>221</v>
      </c>
      <c r="C9" s="11" t="s">
        <v>222</v>
      </c>
      <c r="D9" s="11" t="n">
        <v>7</v>
      </c>
      <c r="E9" s="11" t="n">
        <v>3</v>
      </c>
      <c r="F9" s="23" t="n">
        <f aca="false">D9+E9-1</f>
        <v>9</v>
      </c>
      <c r="G9" s="13" t="s">
        <v>219</v>
      </c>
      <c r="H9" s="11" t="s">
        <v>163</v>
      </c>
    </row>
    <row r="10" customFormat="false" ht="25.5" hidden="false" customHeight="true" outlineLevel="0" collapsed="false">
      <c r="A10" s="12" t="s">
        <v>223</v>
      </c>
      <c r="B10" s="22" t="s">
        <v>221</v>
      </c>
      <c r="C10" s="11" t="s">
        <v>222</v>
      </c>
      <c r="D10" s="11" t="n">
        <v>9</v>
      </c>
      <c r="E10" s="11" t="n">
        <v>2</v>
      </c>
      <c r="F10" s="23" t="n">
        <f aca="false">D10+E10-1</f>
        <v>10</v>
      </c>
      <c r="G10" s="13" t="s">
        <v>69</v>
      </c>
      <c r="H10" s="11" t="s">
        <v>163</v>
      </c>
    </row>
    <row r="11" customFormat="false" ht="25.5" hidden="false" customHeight="true" outlineLevel="0" collapsed="false">
      <c r="A11" s="12" t="s">
        <v>224</v>
      </c>
      <c r="B11" s="22" t="s">
        <v>221</v>
      </c>
      <c r="C11" s="11" t="s">
        <v>225</v>
      </c>
      <c r="D11" s="11" t="n">
        <v>9</v>
      </c>
      <c r="E11" s="11" t="n">
        <v>3</v>
      </c>
      <c r="F11" s="23" t="n">
        <f aca="false">D11+E11-1</f>
        <v>11</v>
      </c>
      <c r="G11" s="13" t="s">
        <v>69</v>
      </c>
      <c r="H11" s="11" t="s">
        <v>163</v>
      </c>
    </row>
    <row r="12" customFormat="false" ht="25.5" hidden="false" customHeight="true" outlineLevel="0" collapsed="false">
      <c r="A12" s="12" t="s">
        <v>226</v>
      </c>
      <c r="B12" s="22" t="s">
        <v>227</v>
      </c>
      <c r="C12" s="11" t="s">
        <v>210</v>
      </c>
      <c r="D12" s="11" t="n">
        <v>11</v>
      </c>
      <c r="E12" s="11" t="n">
        <v>3</v>
      </c>
      <c r="F12" s="23" t="n">
        <f aca="false">D12+E12-1</f>
        <v>13</v>
      </c>
      <c r="G12" s="13" t="s">
        <v>213</v>
      </c>
      <c r="H12" s="11" t="s">
        <v>163</v>
      </c>
    </row>
    <row r="13" customFormat="false" ht="25.5" hidden="false" customHeight="true" outlineLevel="0" collapsed="false">
      <c r="A13" s="12" t="s">
        <v>228</v>
      </c>
      <c r="B13" s="22" t="s">
        <v>229</v>
      </c>
      <c r="C13" s="11" t="s">
        <v>230</v>
      </c>
      <c r="D13" s="11" t="n">
        <v>13</v>
      </c>
      <c r="E13" s="11" t="n">
        <v>3</v>
      </c>
      <c r="F13" s="23" t="n">
        <f aca="false">D13+E13-1</f>
        <v>15</v>
      </c>
      <c r="G13" s="13" t="s">
        <v>231</v>
      </c>
      <c r="H13" s="11" t="s">
        <v>163</v>
      </c>
    </row>
    <row r="14" customFormat="false" ht="25.5" hidden="false" customHeight="true" outlineLevel="0" collapsed="false">
      <c r="A14" s="12" t="s">
        <v>232</v>
      </c>
      <c r="B14" s="22" t="s">
        <v>229</v>
      </c>
      <c r="C14" s="11" t="s">
        <v>233</v>
      </c>
      <c r="D14" s="11" t="n">
        <v>13</v>
      </c>
      <c r="E14" s="11" t="n">
        <v>3</v>
      </c>
      <c r="F14" s="23" t="n">
        <f aca="false">D14+E14-1</f>
        <v>15</v>
      </c>
      <c r="G14" s="13" t="s">
        <v>234</v>
      </c>
      <c r="H14" s="11" t="s">
        <v>163</v>
      </c>
    </row>
    <row r="15" customFormat="false" ht="25.5" hidden="false" customHeight="true" outlineLevel="0" collapsed="false">
      <c r="A15" s="12" t="s">
        <v>235</v>
      </c>
      <c r="B15" s="22" t="s">
        <v>229</v>
      </c>
      <c r="C15" s="11" t="s">
        <v>233</v>
      </c>
      <c r="D15" s="11" t="n">
        <v>15</v>
      </c>
      <c r="E15" s="11" t="n">
        <v>2</v>
      </c>
      <c r="F15" s="23" t="n">
        <f aca="false">D15+E15-1</f>
        <v>16</v>
      </c>
      <c r="G15" s="13" t="s">
        <v>236</v>
      </c>
      <c r="H15" s="11" t="s">
        <v>163</v>
      </c>
    </row>
    <row r="16" customFormat="false" ht="25.5" hidden="false" customHeight="true" outlineLevel="0" collapsed="false">
      <c r="A16" s="12" t="s">
        <v>237</v>
      </c>
      <c r="B16" s="22" t="s">
        <v>229</v>
      </c>
      <c r="C16" s="11" t="s">
        <v>238</v>
      </c>
      <c r="D16" s="11" t="n">
        <v>17</v>
      </c>
      <c r="E16" s="11" t="n">
        <v>2</v>
      </c>
      <c r="F16" s="23" t="n">
        <f aca="false">D16+E16-1</f>
        <v>18</v>
      </c>
      <c r="G16" s="13" t="s">
        <v>239</v>
      </c>
      <c r="H16" s="11" t="s">
        <v>163</v>
      </c>
    </row>
    <row r="17" customFormat="false" ht="15" hidden="false" customHeight="false" outlineLevel="0" collapsed="false">
      <c r="A17" s="24" t="s">
        <v>240</v>
      </c>
      <c r="B17" s="6"/>
      <c r="C17" s="6"/>
      <c r="D17" s="6"/>
      <c r="F17" s="25" t="n">
        <f aca="false">MAX(F5:F16)</f>
        <v>18</v>
      </c>
      <c r="G17" s="26" t="s">
        <v>241</v>
      </c>
      <c r="H17" s="6"/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H5:H16" type="list">
      <formula1>"ยังไม่เริ่ม,กำลังทำ,เสร็จ,บล็อก"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12"/>
    <col collapsed="false" customWidth="true" hidden="false" outlineLevel="0" max="8" min="8" style="0" width="11"/>
  </cols>
  <sheetData>
    <row r="1" customFormat="false" ht="33.75" hidden="false" customHeight="true" outlineLevel="0" collapsed="false">
      <c r="A1" s="1" t="s">
        <v>242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243</v>
      </c>
      <c r="B2" s="2"/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A4" s="3" t="s">
        <v>244</v>
      </c>
      <c r="B4" s="3"/>
      <c r="C4" s="3"/>
      <c r="D4" s="3"/>
      <c r="E4" s="3"/>
      <c r="F4" s="3"/>
    </row>
    <row r="5" customFormat="false" ht="30" hidden="false" customHeight="true" outlineLevel="0" collapsed="false">
      <c r="A5" s="10" t="s">
        <v>245</v>
      </c>
      <c r="B5" s="10" t="s">
        <v>246</v>
      </c>
      <c r="C5" s="10" t="s">
        <v>247</v>
      </c>
      <c r="D5" s="10" t="s">
        <v>248</v>
      </c>
      <c r="E5" s="10" t="s">
        <v>249</v>
      </c>
      <c r="F5" s="10" t="s">
        <v>106</v>
      </c>
    </row>
    <row r="6" customFormat="false" ht="21.75" hidden="false" customHeight="true" outlineLevel="0" collapsed="false">
      <c r="A6" s="27" t="s">
        <v>250</v>
      </c>
      <c r="B6" s="11" t="s">
        <v>251</v>
      </c>
      <c r="C6" s="11" t="s">
        <v>252</v>
      </c>
      <c r="D6" s="13" t="s">
        <v>253</v>
      </c>
      <c r="E6" s="13" t="s">
        <v>254</v>
      </c>
      <c r="F6" s="11" t="s">
        <v>57</v>
      </c>
    </row>
    <row r="7" customFormat="false" ht="21.75" hidden="false" customHeight="true" outlineLevel="0" collapsed="false">
      <c r="A7" s="27" t="s">
        <v>255</v>
      </c>
      <c r="B7" s="11" t="s">
        <v>256</v>
      </c>
      <c r="C7" s="11" t="s">
        <v>252</v>
      </c>
      <c r="D7" s="13" t="s">
        <v>257</v>
      </c>
      <c r="E7" s="13" t="s">
        <v>258</v>
      </c>
      <c r="F7" s="11" t="s">
        <v>57</v>
      </c>
    </row>
    <row r="8" customFormat="false" ht="21.75" hidden="false" customHeight="true" outlineLevel="0" collapsed="false">
      <c r="A8" s="27" t="s">
        <v>259</v>
      </c>
      <c r="B8" s="11" t="s">
        <v>251</v>
      </c>
      <c r="C8" s="11" t="s">
        <v>252</v>
      </c>
      <c r="D8" s="13" t="s">
        <v>260</v>
      </c>
      <c r="E8" s="13" t="s">
        <v>261</v>
      </c>
      <c r="F8" s="11" t="s">
        <v>57</v>
      </c>
    </row>
    <row r="9" customFormat="false" ht="21.75" hidden="false" customHeight="true" outlineLevel="0" collapsed="false">
      <c r="A9" s="27" t="s">
        <v>262</v>
      </c>
      <c r="B9" s="11" t="s">
        <v>251</v>
      </c>
      <c r="C9" s="11" t="s">
        <v>252</v>
      </c>
      <c r="D9" s="13" t="s">
        <v>263</v>
      </c>
      <c r="E9" s="13" t="s">
        <v>264</v>
      </c>
      <c r="F9" s="11" t="s">
        <v>40</v>
      </c>
    </row>
    <row r="10" customFormat="false" ht="21.75" hidden="false" customHeight="true" outlineLevel="0" collapsed="false">
      <c r="A10" s="27" t="s">
        <v>265</v>
      </c>
      <c r="B10" s="11" t="s">
        <v>251</v>
      </c>
      <c r="C10" s="11" t="s">
        <v>252</v>
      </c>
      <c r="D10" s="13" t="s">
        <v>266</v>
      </c>
      <c r="E10" s="13" t="s">
        <v>267</v>
      </c>
      <c r="F10" s="11" t="s">
        <v>57</v>
      </c>
    </row>
    <row r="11" customFormat="false" ht="21.75" hidden="false" customHeight="true" outlineLevel="0" collapsed="false">
      <c r="A11" s="27" t="s">
        <v>268</v>
      </c>
      <c r="B11" s="11" t="s">
        <v>251</v>
      </c>
      <c r="C11" s="11" t="s">
        <v>252</v>
      </c>
      <c r="D11" s="13" t="s">
        <v>269</v>
      </c>
      <c r="E11" s="13" t="s">
        <v>270</v>
      </c>
      <c r="F11" s="11" t="s">
        <v>57</v>
      </c>
    </row>
    <row r="12" customFormat="false" ht="21.75" hidden="false" customHeight="true" outlineLevel="0" collapsed="false">
      <c r="A12" s="27" t="s">
        <v>271</v>
      </c>
      <c r="B12" s="11" t="s">
        <v>272</v>
      </c>
      <c r="C12" s="11" t="s">
        <v>252</v>
      </c>
      <c r="D12" s="13" t="s">
        <v>273</v>
      </c>
      <c r="E12" s="13" t="s">
        <v>274</v>
      </c>
      <c r="F12" s="11" t="s">
        <v>57</v>
      </c>
    </row>
    <row r="13" customFormat="false" ht="21.75" hidden="false" customHeight="true" outlineLevel="0" collapsed="false">
      <c r="A13" s="27" t="s">
        <v>275</v>
      </c>
      <c r="B13" s="11" t="s">
        <v>251</v>
      </c>
      <c r="C13" s="11"/>
      <c r="D13" s="13" t="s">
        <v>276</v>
      </c>
      <c r="E13" s="13" t="s">
        <v>277</v>
      </c>
      <c r="F13" s="11" t="s">
        <v>57</v>
      </c>
    </row>
    <row r="14" customFormat="false" ht="21.75" hidden="false" customHeight="true" outlineLevel="0" collapsed="false">
      <c r="A14" s="27" t="s">
        <v>278</v>
      </c>
      <c r="B14" s="11" t="s">
        <v>251</v>
      </c>
      <c r="C14" s="11"/>
      <c r="D14" s="13" t="s">
        <v>279</v>
      </c>
      <c r="E14" s="13" t="s">
        <v>280</v>
      </c>
      <c r="F14" s="11" t="s">
        <v>57</v>
      </c>
    </row>
    <row r="15" customFormat="false" ht="21.75" hidden="false" customHeight="true" outlineLevel="0" collapsed="false">
      <c r="A15" s="27" t="s">
        <v>281</v>
      </c>
      <c r="B15" s="11" t="s">
        <v>272</v>
      </c>
      <c r="C15" s="11" t="s">
        <v>252</v>
      </c>
      <c r="D15" s="13" t="s">
        <v>282</v>
      </c>
      <c r="E15" s="13" t="s">
        <v>283</v>
      </c>
      <c r="F15" s="11" t="s">
        <v>57</v>
      </c>
    </row>
    <row r="16" customFormat="false" ht="21.75" hidden="false" customHeight="true" outlineLevel="0" collapsed="false">
      <c r="A16" s="27" t="s">
        <v>284</v>
      </c>
      <c r="B16" s="11" t="s">
        <v>251</v>
      </c>
      <c r="C16" s="11"/>
      <c r="D16" s="13" t="s">
        <v>285</v>
      </c>
      <c r="E16" s="13" t="s">
        <v>286</v>
      </c>
      <c r="F16" s="11" t="s">
        <v>40</v>
      </c>
    </row>
    <row r="17" customFormat="false" ht="21.75" hidden="false" customHeight="true" outlineLevel="0" collapsed="false">
      <c r="A17" s="27" t="s">
        <v>287</v>
      </c>
      <c r="B17" s="11" t="s">
        <v>288</v>
      </c>
      <c r="C17" s="11"/>
      <c r="D17" s="13" t="s">
        <v>289</v>
      </c>
      <c r="E17" s="13" t="s">
        <v>290</v>
      </c>
      <c r="F17" s="11" t="s">
        <v>40</v>
      </c>
    </row>
    <row r="18" customFormat="false" ht="21.75" hidden="false" customHeight="true" outlineLevel="0" collapsed="false">
      <c r="A18" s="27" t="s">
        <v>291</v>
      </c>
      <c r="B18" s="11" t="s">
        <v>251</v>
      </c>
      <c r="C18" s="11"/>
      <c r="D18" s="13" t="s">
        <v>292</v>
      </c>
      <c r="E18" s="13" t="s">
        <v>293</v>
      </c>
      <c r="F18" s="11" t="s">
        <v>40</v>
      </c>
    </row>
    <row r="19" customFormat="false" ht="21.75" hidden="false" customHeight="true" outlineLevel="0" collapsed="false">
      <c r="A19" s="27" t="s">
        <v>294</v>
      </c>
      <c r="B19" s="11" t="s">
        <v>272</v>
      </c>
      <c r="C19" s="11" t="s">
        <v>252</v>
      </c>
      <c r="D19" s="13" t="s">
        <v>295</v>
      </c>
      <c r="E19" s="13" t="s">
        <v>40</v>
      </c>
      <c r="F19" s="11" t="s">
        <v>57</v>
      </c>
    </row>
    <row r="21" customFormat="false" ht="15" hidden="false" customHeight="true" outlineLevel="0" collapsed="false">
      <c r="A21" s="3" t="s">
        <v>296</v>
      </c>
      <c r="B21" s="3"/>
      <c r="C21" s="3"/>
      <c r="D21" s="3"/>
      <c r="E21" s="3"/>
      <c r="F21" s="3"/>
      <c r="G21" s="3"/>
      <c r="H21" s="3"/>
    </row>
    <row r="22" customFormat="false" ht="30" hidden="false" customHeight="true" outlineLevel="0" collapsed="false">
      <c r="A22" s="10" t="s">
        <v>250</v>
      </c>
      <c r="B22" s="10" t="s">
        <v>255</v>
      </c>
      <c r="C22" s="10" t="s">
        <v>262</v>
      </c>
      <c r="D22" s="10" t="s">
        <v>265</v>
      </c>
      <c r="E22" s="10" t="s">
        <v>271</v>
      </c>
      <c r="F22" s="10" t="s">
        <v>275</v>
      </c>
      <c r="G22" s="10" t="s">
        <v>281</v>
      </c>
      <c r="H22" s="10" t="s">
        <v>287</v>
      </c>
    </row>
    <row r="23" customFormat="false" ht="21.75" hidden="false" customHeight="true" outlineLevel="0" collapsed="false">
      <c r="A23" s="28" t="s">
        <v>297</v>
      </c>
      <c r="B23" s="28" t="s">
        <v>298</v>
      </c>
      <c r="C23" s="28" t="s">
        <v>264</v>
      </c>
      <c r="D23" s="28" t="s">
        <v>299</v>
      </c>
      <c r="E23" s="28" t="s">
        <v>300</v>
      </c>
      <c r="F23" s="28" t="s">
        <v>277</v>
      </c>
      <c r="G23" s="28" t="s">
        <v>119</v>
      </c>
      <c r="H23" s="28"/>
    </row>
    <row r="24" customFormat="false" ht="21.75" hidden="false" customHeight="true" outlineLevel="0" collapsed="false">
      <c r="A24" s="28" t="s">
        <v>301</v>
      </c>
      <c r="B24" s="28" t="s">
        <v>302</v>
      </c>
      <c r="C24" s="28" t="s">
        <v>264</v>
      </c>
      <c r="D24" s="28" t="s">
        <v>299</v>
      </c>
      <c r="E24" s="28" t="s">
        <v>303</v>
      </c>
      <c r="F24" s="28" t="s">
        <v>277</v>
      </c>
      <c r="G24" s="28" t="s">
        <v>119</v>
      </c>
      <c r="H24" s="28"/>
    </row>
    <row r="25" customFormat="false" ht="21.75" hidden="false" customHeight="true" outlineLevel="0" collapsed="false">
      <c r="A25" s="28" t="s">
        <v>304</v>
      </c>
      <c r="B25" s="28" t="s">
        <v>258</v>
      </c>
      <c r="C25" s="28" t="s">
        <v>264</v>
      </c>
      <c r="D25" s="28" t="s">
        <v>299</v>
      </c>
      <c r="E25" s="28" t="s">
        <v>274</v>
      </c>
      <c r="F25" s="28" t="s">
        <v>305</v>
      </c>
      <c r="G25" s="28" t="s">
        <v>283</v>
      </c>
      <c r="H25" s="28" t="s">
        <v>290</v>
      </c>
    </row>
    <row r="26" customFormat="false" ht="21.75" hidden="false" customHeight="true" outlineLevel="0" collapsed="false">
      <c r="A26" s="28" t="s">
        <v>306</v>
      </c>
      <c r="B26" s="28" t="s">
        <v>307</v>
      </c>
      <c r="C26" s="28" t="s">
        <v>293</v>
      </c>
      <c r="D26" s="28" t="s">
        <v>185</v>
      </c>
      <c r="E26" s="28" t="s">
        <v>308</v>
      </c>
      <c r="F26" s="28" t="s">
        <v>277</v>
      </c>
      <c r="G26" s="28" t="s">
        <v>309</v>
      </c>
      <c r="H26" s="28" t="s">
        <v>290</v>
      </c>
    </row>
    <row r="27" customFormat="false" ht="21.75" hidden="false" customHeight="true" outlineLevel="0" collapsed="false">
      <c r="A27" s="28" t="s">
        <v>310</v>
      </c>
      <c r="B27" s="28" t="s">
        <v>311</v>
      </c>
      <c r="C27" s="28" t="s">
        <v>312</v>
      </c>
      <c r="D27" s="28" t="s">
        <v>313</v>
      </c>
      <c r="E27" s="28" t="s">
        <v>274</v>
      </c>
      <c r="F27" s="28" t="s">
        <v>314</v>
      </c>
      <c r="G27" s="28" t="s">
        <v>315</v>
      </c>
      <c r="H27" s="28" t="s">
        <v>316</v>
      </c>
    </row>
  </sheetData>
  <mergeCells count="4">
    <mergeCell ref="A1:H1"/>
    <mergeCell ref="A2:H2"/>
    <mergeCell ref="A4:F4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1" t="s">
        <v>317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318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10" t="s">
        <v>106</v>
      </c>
      <c r="B4" s="10" t="s">
        <v>319</v>
      </c>
      <c r="C4" s="10" t="s">
        <v>320</v>
      </c>
      <c r="D4" s="10" t="s">
        <v>249</v>
      </c>
      <c r="E4" s="10" t="s">
        <v>321</v>
      </c>
      <c r="F4" s="10" t="s">
        <v>322</v>
      </c>
    </row>
    <row r="5" customFormat="false" ht="43.5" hidden="false" customHeight="true" outlineLevel="0" collapsed="false">
      <c r="A5" s="17" t="s">
        <v>116</v>
      </c>
      <c r="B5" s="29" t="s">
        <v>323</v>
      </c>
      <c r="C5" s="13" t="s">
        <v>324</v>
      </c>
      <c r="D5" s="13" t="s">
        <v>325</v>
      </c>
      <c r="E5" s="13" t="s">
        <v>326</v>
      </c>
      <c r="F5" s="13" t="s">
        <v>327</v>
      </c>
    </row>
    <row r="6" customFormat="false" ht="43.5" hidden="false" customHeight="true" outlineLevel="0" collapsed="false">
      <c r="A6" s="15" t="s">
        <v>57</v>
      </c>
      <c r="B6" s="30" t="s">
        <v>328</v>
      </c>
      <c r="C6" s="13" t="s">
        <v>329</v>
      </c>
      <c r="D6" s="13" t="s">
        <v>330</v>
      </c>
      <c r="E6" s="13" t="s">
        <v>331</v>
      </c>
      <c r="F6" s="13" t="s">
        <v>124</v>
      </c>
    </row>
    <row r="7" customFormat="false" ht="43.5" hidden="false" customHeight="true" outlineLevel="0" collapsed="false">
      <c r="A7" s="14" t="s">
        <v>40</v>
      </c>
      <c r="B7" s="31" t="s">
        <v>332</v>
      </c>
      <c r="C7" s="13" t="s">
        <v>333</v>
      </c>
      <c r="D7" s="13" t="s">
        <v>334</v>
      </c>
      <c r="E7" s="13" t="s">
        <v>335</v>
      </c>
      <c r="F7" s="13" t="s">
        <v>336</v>
      </c>
    </row>
    <row r="8" customFormat="false" ht="43.5" hidden="false" customHeight="true" outlineLevel="0" collapsed="false">
      <c r="A8" s="16" t="s">
        <v>100</v>
      </c>
      <c r="B8" s="32" t="s">
        <v>337</v>
      </c>
      <c r="C8" s="13" t="s">
        <v>338</v>
      </c>
      <c r="D8" s="13" t="s">
        <v>339</v>
      </c>
      <c r="E8" s="13" t="s">
        <v>340</v>
      </c>
      <c r="F8" s="13" t="s">
        <v>150</v>
      </c>
    </row>
    <row r="10" customFormat="false" ht="15" hidden="false" customHeight="true" outlineLevel="0" collapsed="false">
      <c r="A10" s="8" t="s">
        <v>341</v>
      </c>
      <c r="B10" s="8"/>
      <c r="C10" s="8"/>
      <c r="D10" s="8"/>
      <c r="E10" s="8"/>
      <c r="F10" s="8"/>
    </row>
    <row r="11" customFormat="false" ht="21.75" hidden="false" customHeight="true" outlineLevel="0" collapsed="false">
      <c r="A11" s="33" t="s">
        <v>342</v>
      </c>
      <c r="B11" s="33"/>
      <c r="C11" s="33"/>
      <c r="D11" s="33"/>
      <c r="E11" s="33"/>
      <c r="F11" s="33"/>
    </row>
    <row r="12" customFormat="false" ht="21.75" hidden="false" customHeight="true" outlineLevel="0" collapsed="false">
      <c r="A12" s="33" t="s">
        <v>343</v>
      </c>
      <c r="B12" s="33"/>
      <c r="C12" s="33"/>
      <c r="D12" s="33"/>
      <c r="E12" s="33"/>
      <c r="F12" s="33"/>
    </row>
    <row r="13" customFormat="false" ht="21.75" hidden="false" customHeight="true" outlineLevel="0" collapsed="false">
      <c r="A13" s="33" t="s">
        <v>344</v>
      </c>
      <c r="B13" s="33"/>
      <c r="C13" s="33"/>
      <c r="D13" s="33"/>
      <c r="E13" s="33"/>
      <c r="F13" s="33"/>
    </row>
    <row r="14" customFormat="false" ht="21.75" hidden="false" customHeight="true" outlineLevel="0" collapsed="false">
      <c r="A14" s="33" t="s">
        <v>345</v>
      </c>
      <c r="B14" s="33"/>
      <c r="C14" s="33"/>
      <c r="D14" s="33"/>
      <c r="E14" s="33"/>
      <c r="F14" s="33"/>
    </row>
    <row r="15" customFormat="false" ht="21.75" hidden="false" customHeight="true" outlineLevel="0" collapsed="false">
      <c r="A15" s="33" t="s">
        <v>346</v>
      </c>
      <c r="B15" s="33"/>
      <c r="C15" s="33"/>
      <c r="D15" s="33"/>
      <c r="E15" s="33"/>
      <c r="F15" s="33"/>
    </row>
  </sheetData>
  <mergeCells count="8">
    <mergeCell ref="A1:F1"/>
    <mergeCell ref="A2:F2"/>
    <mergeCell ref="A10:F10"/>
    <mergeCell ref="A11:F11"/>
    <mergeCell ref="A12:F12"/>
    <mergeCell ref="A13:F13"/>
    <mergeCell ref="A14:F14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2026-06-15T15:44:15Z</dcterms:created>
  <dc:creator>openpyxl</dc:creator>
  <dc:description/>
  <dc:language>en-US</dc:language>
  <cp:lastModifiedBy/>
  <dcterms:modified xsi:type="dcterms:W3CDTF">2026-06-15T15:44:15Z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